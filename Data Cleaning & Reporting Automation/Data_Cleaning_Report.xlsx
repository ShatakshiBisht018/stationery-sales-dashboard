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hly Trend" sheetId="2" state="visible" r:id="rId4"/>
    <sheet name="Cleaned Data" sheetId="3" state="visible" r:id="rId5"/>
    <sheet name="Cleaning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<sst xmlns="http://schemas.openxmlformats.org/spreadsheetml/2006/main" count="880" uniqueCount="294">
  <si>
    <t xml:space="preserve">Data Cleaning &amp; Reporting Automation</t>
  </si>
  <si>
    <t xml:space="preserve">Source: stationery_sales_dataset.csv  |  Generated automatically by clean_pipeline.py</t>
  </si>
  <si>
    <t xml:space="preserve">Total Orders</t>
  </si>
  <si>
    <t xml:space="preserve">Total Revenue (INR)</t>
  </si>
  <si>
    <t xml:space="preserve">Total Units Sold</t>
  </si>
  <si>
    <t xml:space="preserve">Average Order Value (INR)</t>
  </si>
  <si>
    <t xml:space="preserve">Average Discount (%)</t>
  </si>
  <si>
    <t xml:space="preserve">Outliers Flagged</t>
  </si>
  <si>
    <t xml:space="preserve">Revenue by Category</t>
  </si>
  <si>
    <t xml:space="preserve">Category</t>
  </si>
  <si>
    <t xml:space="preserve">Revenue (INR)</t>
  </si>
  <si>
    <t xml:space="preserve">Art &amp; Craft</t>
  </si>
  <si>
    <t xml:space="preserve">Office Supplies</t>
  </si>
  <si>
    <t xml:space="preserve">Paper Products</t>
  </si>
  <si>
    <t xml:space="preserve">Writing</t>
  </si>
  <si>
    <t xml:space="preserve">Revenue by Region</t>
  </si>
  <si>
    <t xml:space="preserve">Region</t>
  </si>
  <si>
    <t xml:space="preserve">Central</t>
  </si>
  <si>
    <t xml:space="preserve">East</t>
  </si>
  <si>
    <t xml:space="preserve">North</t>
  </si>
  <si>
    <t xml:space="preserve">South</t>
  </si>
  <si>
    <t xml:space="preserve">West</t>
  </si>
  <si>
    <t xml:space="preserve">Monthly Revenue Trend</t>
  </si>
  <si>
    <t xml:space="preserve">Month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</si>
  <si>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</si>
  <si>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</si>
  <si>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</si>
  <si>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</si>
  <si>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</si>
  <si>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</si>
  <si>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</si>
  <si>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Sale ID</t>
  </si>
  <si>
    <t xml:space="preserve">Date</t>
  </si>
  <si>
    <t xml:space="preserve">Brand</t>
  </si>
  <si>
    <t xml:space="preserve">Product</t>
  </si>
  <si>
    <t xml:space="preserve">Retailer</t>
  </si>
  <si>
    <t xml:space="preserve">Units Sold</t>
  </si>
  <si>
    <t xml:space="preserve">Unit Price (INR)</t>
  </si>
  <si>
    <t xml:space="preserve">Discount (%)</t>
  </si>
  <si>
    <t xml:space="preserve">Outlier Flag</t>
  </si>
  <si>
    <t xml:space="preserve">S0024</t>
  </si>
  <si>
    <t xml:space="preserve">2026-01-05</t>
  </si>
  <si>
    <t xml:space="preserve">Luxor</t>
  </si>
  <si>
    <t xml:space="preserve">Sketch Pens Pack</t>
  </si>
  <si>
    <t xml:space="preserve">Paper Plus</t>
  </si>
  <si>
    <t xml:space="preserve">No</t>
  </si>
  <si>
    <t xml:space="preserve">S0031</t>
  </si>
  <si>
    <t xml:space="preserve">2026-01-09</t>
  </si>
  <si>
    <t xml:space="preserve">Faber-Castell</t>
  </si>
  <si>
    <t xml:space="preserve">Gel Pens Set</t>
  </si>
  <si>
    <t xml:space="preserve">Stationery Hub</t>
  </si>
  <si>
    <t xml:space="preserve">S0054</t>
  </si>
  <si>
    <t xml:space="preserve">2026-01-12</t>
  </si>
  <si>
    <t xml:space="preserve">Doms</t>
  </si>
  <si>
    <t xml:space="preserve">Sharpener Set</t>
  </si>
  <si>
    <t xml:space="preserve">S0009</t>
  </si>
  <si>
    <t xml:space="preserve">S0042</t>
  </si>
  <si>
    <t xml:space="preserve">2026-01-15</t>
  </si>
  <si>
    <t xml:space="preserve">Classmate</t>
  </si>
  <si>
    <t xml:space="preserve">Long Notebook</t>
  </si>
  <si>
    <t xml:space="preserve">BookNest</t>
  </si>
  <si>
    <t xml:space="preserve">S0014</t>
  </si>
  <si>
    <t xml:space="preserve">2026-01-17</t>
  </si>
  <si>
    <t xml:space="preserve">S0037</t>
  </si>
  <si>
    <t xml:space="preserve">2026-01-20</t>
  </si>
  <si>
    <t xml:space="preserve">Parker</t>
  </si>
  <si>
    <t xml:space="preserve">Ball Pen Premium</t>
  </si>
  <si>
    <t xml:space="preserve">S0045</t>
  </si>
  <si>
    <t xml:space="preserve">2026-01-21</t>
  </si>
  <si>
    <t xml:space="preserve">Practical Notebook</t>
  </si>
  <si>
    <t xml:space="preserve">S0002</t>
  </si>
  <si>
    <t xml:space="preserve">2026-01-23</t>
  </si>
  <si>
    <t xml:space="preserve">Camlin</t>
  </si>
  <si>
    <t xml:space="preserve">Watercolor Pack</t>
  </si>
  <si>
    <t xml:space="preserve">Office Mart</t>
  </si>
  <si>
    <t xml:space="preserve">S0006</t>
  </si>
  <si>
    <t xml:space="preserve">2026-01-27</t>
  </si>
  <si>
    <t xml:space="preserve">Markers Set</t>
  </si>
  <si>
    <t xml:space="preserve">S0022</t>
  </si>
  <si>
    <t xml:space="preserve">2026-01-28</t>
  </si>
  <si>
    <t xml:space="preserve">Nataraj</t>
  </si>
  <si>
    <t xml:space="preserve">Crayons Pack</t>
  </si>
  <si>
    <t xml:space="preserve">S0065</t>
  </si>
  <si>
    <t xml:space="preserve">2026-01-30</t>
  </si>
  <si>
    <t xml:space="preserve">Marker Set</t>
  </si>
  <si>
    <t xml:space="preserve">Campus Store</t>
  </si>
  <si>
    <t xml:space="preserve">S0071</t>
  </si>
  <si>
    <t xml:space="preserve">2026-02-02</t>
  </si>
  <si>
    <t xml:space="preserve">Cello</t>
  </si>
  <si>
    <t xml:space="preserve">Stapler</t>
  </si>
  <si>
    <t xml:space="preserve">S0057</t>
  </si>
  <si>
    <t xml:space="preserve">Color Pencils 24pk</t>
  </si>
  <si>
    <t xml:space="preserve">S0051</t>
  </si>
  <si>
    <t xml:space="preserve">2026-02-04</t>
  </si>
  <si>
    <t xml:space="preserve">Ball Pen Pack</t>
  </si>
  <si>
    <t xml:space="preserve">S0096</t>
  </si>
  <si>
    <t xml:space="preserve">2026-02-09</t>
  </si>
  <si>
    <t xml:space="preserve">S0018</t>
  </si>
  <si>
    <t xml:space="preserve">Notebook 172pg</t>
  </si>
  <si>
    <t xml:space="preserve">S0060</t>
  </si>
  <si>
    <t xml:space="preserve">2026-02-15</t>
  </si>
  <si>
    <t xml:space="preserve">Pencil Box Set</t>
  </si>
  <si>
    <t xml:space="preserve">S0092</t>
  </si>
  <si>
    <t xml:space="preserve">2026-02-16</t>
  </si>
  <si>
    <t xml:space="preserve">S0041</t>
  </si>
  <si>
    <t xml:space="preserve">2026-02-18</t>
  </si>
  <si>
    <t xml:space="preserve">S0046</t>
  </si>
  <si>
    <t xml:space="preserve">2026-02-22</t>
  </si>
  <si>
    <t xml:space="preserve">Ball Pen Box</t>
  </si>
  <si>
    <t xml:space="preserve">S0073</t>
  </si>
  <si>
    <t xml:space="preserve">2026-02-23</t>
  </si>
  <si>
    <t xml:space="preserve">Glue Stick Pack</t>
  </si>
  <si>
    <t xml:space="preserve">S0032</t>
  </si>
  <si>
    <t xml:space="preserve">2026-02-24</t>
  </si>
  <si>
    <t xml:space="preserve">Correction Pen</t>
  </si>
  <si>
    <t xml:space="preserve">S0030</t>
  </si>
  <si>
    <t xml:space="preserve">2026-02-26</t>
  </si>
  <si>
    <t xml:space="preserve">Highlighters Pack</t>
  </si>
  <si>
    <t xml:space="preserve">S0017</t>
  </si>
  <si>
    <t xml:space="preserve">S0089</t>
  </si>
  <si>
    <t xml:space="preserve">Sketch Set</t>
  </si>
  <si>
    <t xml:space="preserve">Yes</t>
  </si>
  <si>
    <t xml:space="preserve">S0079</t>
  </si>
  <si>
    <t xml:space="preserve">Sketch Pens 12pk</t>
  </si>
  <si>
    <t xml:space="preserve">S0029</t>
  </si>
  <si>
    <t xml:space="preserve">2026-02-27</t>
  </si>
  <si>
    <t xml:space="preserve">Poster Colors</t>
  </si>
  <si>
    <t xml:space="preserve">S0003</t>
  </si>
  <si>
    <t xml:space="preserve">2026-03-01</t>
  </si>
  <si>
    <t xml:space="preserve">S0049</t>
  </si>
  <si>
    <t xml:space="preserve">2026-03-04</t>
  </si>
  <si>
    <t xml:space="preserve">S0007</t>
  </si>
  <si>
    <t xml:space="preserve">2026-03-09</t>
  </si>
  <si>
    <t xml:space="preserve">Permanent Marker Pack</t>
  </si>
  <si>
    <t xml:space="preserve">S0083</t>
  </si>
  <si>
    <t xml:space="preserve">2026-03-12</t>
  </si>
  <si>
    <t xml:space="preserve">S0010</t>
  </si>
  <si>
    <t xml:space="preserve">2026-03-13</t>
  </si>
  <si>
    <t xml:space="preserve">S0052</t>
  </si>
  <si>
    <t xml:space="preserve">2026-03-14</t>
  </si>
  <si>
    <t xml:space="preserve">Sharpener Pack</t>
  </si>
  <si>
    <t xml:space="preserve">S0098</t>
  </si>
  <si>
    <t xml:space="preserve">2026-03-21</t>
  </si>
  <si>
    <t xml:space="preserve">S0093</t>
  </si>
  <si>
    <t xml:space="preserve">2026-03-25</t>
  </si>
  <si>
    <t xml:space="preserve">S0084</t>
  </si>
  <si>
    <t xml:space="preserve">2026-03-27</t>
  </si>
  <si>
    <t xml:space="preserve">S0064</t>
  </si>
  <si>
    <t xml:space="preserve">2026-03-31</t>
  </si>
  <si>
    <t xml:space="preserve">Geometry Box</t>
  </si>
  <si>
    <t xml:space="preserve">S0088</t>
  </si>
  <si>
    <t xml:space="preserve">2026-04-01</t>
  </si>
  <si>
    <t xml:space="preserve">Fountain Pen</t>
  </si>
  <si>
    <t xml:space="preserve">S0034</t>
  </si>
  <si>
    <t xml:space="preserve">S0085</t>
  </si>
  <si>
    <t xml:space="preserve">2026-04-09</t>
  </si>
  <si>
    <t xml:space="preserve">Eraser Pack</t>
  </si>
  <si>
    <t xml:space="preserve">S0015</t>
  </si>
  <si>
    <t xml:space="preserve">2026-04-12</t>
  </si>
  <si>
    <t xml:space="preserve">S0028</t>
  </si>
  <si>
    <t xml:space="preserve">2026-04-13</t>
  </si>
  <si>
    <t xml:space="preserve">S0039</t>
  </si>
  <si>
    <t xml:space="preserve">S0044</t>
  </si>
  <si>
    <t xml:space="preserve">2026-04-14</t>
  </si>
  <si>
    <t xml:space="preserve">S0035</t>
  </si>
  <si>
    <t xml:space="preserve">Oil Pastels 25pk</t>
  </si>
  <si>
    <t xml:space="preserve">S0004</t>
  </si>
  <si>
    <t xml:space="preserve">2026-04-18</t>
  </si>
  <si>
    <t xml:space="preserve">S0069</t>
  </si>
  <si>
    <t xml:space="preserve">2026-04-21</t>
  </si>
  <si>
    <t xml:space="preserve">S0021</t>
  </si>
  <si>
    <t xml:space="preserve">2026-04-22</t>
  </si>
  <si>
    <t xml:space="preserve">S0074</t>
  </si>
  <si>
    <t xml:space="preserve">2026-04-24</t>
  </si>
  <si>
    <t xml:space="preserve">Roller Pen</t>
  </si>
  <si>
    <t xml:space="preserve">S0036</t>
  </si>
  <si>
    <t xml:space="preserve">2026-04-25</t>
  </si>
  <si>
    <t xml:space="preserve">S0082</t>
  </si>
  <si>
    <t xml:space="preserve">2026-04-26</t>
  </si>
  <si>
    <t xml:space="preserve">S0080</t>
  </si>
  <si>
    <t xml:space="preserve">2026-04-27</t>
  </si>
  <si>
    <t xml:space="preserve">S0047</t>
  </si>
  <si>
    <t xml:space="preserve">2026-04-28</t>
  </si>
  <si>
    <t xml:space="preserve">S0012</t>
  </si>
  <si>
    <t xml:space="preserve">2026-04-29</t>
  </si>
  <si>
    <t xml:space="preserve">Color Pencils Premium</t>
  </si>
  <si>
    <t xml:space="preserve">S0094</t>
  </si>
  <si>
    <t xml:space="preserve">2026-05-01</t>
  </si>
  <si>
    <t xml:space="preserve">S0078</t>
  </si>
  <si>
    <t xml:space="preserve">2026-05-07</t>
  </si>
  <si>
    <t xml:space="preserve">S0070</t>
  </si>
  <si>
    <t xml:space="preserve">2026-05-10</t>
  </si>
  <si>
    <t xml:space="preserve">S0053</t>
  </si>
  <si>
    <t xml:space="preserve">S0067</t>
  </si>
  <si>
    <t xml:space="preserve">2026-05-11</t>
  </si>
  <si>
    <t xml:space="preserve">Oil Pastels 12pk</t>
  </si>
  <si>
    <t xml:space="preserve">S0043</t>
  </si>
  <si>
    <t xml:space="preserve">HB Pencil Pack</t>
  </si>
  <si>
    <t xml:space="preserve">S0075</t>
  </si>
  <si>
    <t xml:space="preserve">2026-05-12</t>
  </si>
  <si>
    <t xml:space="preserve">S0027</t>
  </si>
  <si>
    <t xml:space="preserve">2026-05-16</t>
  </si>
  <si>
    <t xml:space="preserve">S0048</t>
  </si>
  <si>
    <t xml:space="preserve">2026-05-18</t>
  </si>
  <si>
    <t xml:space="preserve">S0016</t>
  </si>
  <si>
    <t xml:space="preserve">S0086</t>
  </si>
  <si>
    <t xml:space="preserve">2026-05-19</t>
  </si>
  <si>
    <t xml:space="preserve">S0056</t>
  </si>
  <si>
    <t xml:space="preserve">2026-05-20</t>
  </si>
  <si>
    <t xml:space="preserve">S0008</t>
  </si>
  <si>
    <t xml:space="preserve">2026-05-22</t>
  </si>
  <si>
    <t xml:space="preserve">S0055</t>
  </si>
  <si>
    <t xml:space="preserve">S0025</t>
  </si>
  <si>
    <t xml:space="preserve">2026-05-26</t>
  </si>
  <si>
    <t xml:space="preserve">Notebook 300pg</t>
  </si>
  <si>
    <t xml:space="preserve">S0072</t>
  </si>
  <si>
    <t xml:space="preserve">S0091</t>
  </si>
  <si>
    <t xml:space="preserve">2026-06-01</t>
  </si>
  <si>
    <t xml:space="preserve">Diary</t>
  </si>
  <si>
    <t xml:space="preserve">S0019</t>
  </si>
  <si>
    <t xml:space="preserve">2026-06-02</t>
  </si>
  <si>
    <t xml:space="preserve">Water Color Pack</t>
  </si>
  <si>
    <t xml:space="preserve">S0066</t>
  </si>
  <si>
    <t xml:space="preserve">S0081</t>
  </si>
  <si>
    <t xml:space="preserve">2026-06-06</t>
  </si>
  <si>
    <t xml:space="preserve">S0077</t>
  </si>
  <si>
    <t xml:space="preserve">S0063</t>
  </si>
  <si>
    <t xml:space="preserve">2026-06-18</t>
  </si>
  <si>
    <t xml:space="preserve">S0090</t>
  </si>
  <si>
    <t xml:space="preserve">2026-06-21</t>
  </si>
  <si>
    <t xml:space="preserve">S0011</t>
  </si>
  <si>
    <t xml:space="preserve">Highlighter Pack</t>
  </si>
  <si>
    <t xml:space="preserve">S0020</t>
  </si>
  <si>
    <t xml:space="preserve">2026-06-24</t>
  </si>
  <si>
    <t xml:space="preserve">S0058</t>
  </si>
  <si>
    <t xml:space="preserve">S0100</t>
  </si>
  <si>
    <t xml:space="preserve">2026-06-25</t>
  </si>
  <si>
    <t xml:space="preserve">S0005</t>
  </si>
  <si>
    <t xml:space="preserve">2026-06-28</t>
  </si>
  <si>
    <t xml:space="preserve">S0097</t>
  </si>
  <si>
    <t xml:space="preserve">2026-06-29</t>
  </si>
  <si>
    <t xml:space="preserve">S0068</t>
  </si>
  <si>
    <t xml:space="preserve">2026-07-01</t>
  </si>
  <si>
    <t xml:space="preserve">S0099</t>
  </si>
  <si>
    <t xml:space="preserve">2026-07-03</t>
  </si>
  <si>
    <t xml:space="preserve">S0001</t>
  </si>
  <si>
    <t xml:space="preserve">2026-07-09</t>
  </si>
  <si>
    <t xml:space="preserve">S0059</t>
  </si>
  <si>
    <t xml:space="preserve">2026-07-11</t>
  </si>
  <si>
    <t xml:space="preserve">S0038</t>
  </si>
  <si>
    <t xml:space="preserve">2026-07-12</t>
  </si>
  <si>
    <t xml:space="preserve">S0023</t>
  </si>
  <si>
    <t xml:space="preserve">2026-07-15</t>
  </si>
  <si>
    <t xml:space="preserve">S0026</t>
  </si>
  <si>
    <t xml:space="preserve">2026-07-16</t>
  </si>
  <si>
    <t xml:space="preserve">S0013</t>
  </si>
  <si>
    <t xml:space="preserve">S0087</t>
  </si>
  <si>
    <t xml:space="preserve">2026-07-17</t>
  </si>
  <si>
    <t xml:space="preserve">S0095</t>
  </si>
  <si>
    <t xml:space="preserve">2026-07-19</t>
  </si>
  <si>
    <t xml:space="preserve">S0040</t>
  </si>
  <si>
    <t xml:space="preserve">2026-07-20</t>
  </si>
  <si>
    <t xml:space="preserve">S0033</t>
  </si>
  <si>
    <t xml:space="preserve">S0061</t>
  </si>
  <si>
    <t xml:space="preserve">2026-07-21</t>
  </si>
  <si>
    <t xml:space="preserve">Gel Pen Pack</t>
  </si>
  <si>
    <t xml:space="preserve">S0076</t>
  </si>
  <si>
    <t xml:space="preserve">2026-07-26</t>
  </si>
  <si>
    <t xml:space="preserve">S0050</t>
  </si>
  <si>
    <t xml:space="preserve">S0062</t>
  </si>
  <si>
    <t xml:space="preserve">2026-07-29</t>
  </si>
  <si>
    <t xml:space="preserve">Automated Cleaning Log</t>
  </si>
  <si>
    <t xml:space="preserve">Every action the pipeline took on this run, in order.</t>
  </si>
  <si>
    <t xml:space="preserve">Timestamp</t>
  </si>
  <si>
    <t xml:space="preserve">Action</t>
  </si>
  <si>
    <t xml:space="preserve">Detail</t>
  </si>
  <si>
    <t xml:space="preserve">2026-08-25T19:28:08</t>
  </si>
  <si>
    <t xml:space="preserve">LOAD</t>
  </si>
  <si>
    <t xml:space="preserve">Loaded 100 rows, 11 columns from /mnt/user-data/uploads/stationery_sales_dataset.csv</t>
  </si>
  <si>
    <t xml:space="preserve">DATE_PARSE</t>
  </si>
  <si>
    <t xml:space="preserve">'Date': all dates parsed successfully</t>
  </si>
  <si>
    <t xml:space="preserve">DUPLICATES</t>
  </si>
  <si>
    <t xml:space="preserve">No fully duplicate rows found</t>
  </si>
  <si>
    <t xml:space="preserve">No duplicate 'Sale ID' values found</t>
  </si>
  <si>
    <t xml:space="preserve">RANGE_CHECK</t>
  </si>
  <si>
    <t xml:space="preserve">'Units Sold': all values within expected range [0, 10000]</t>
  </si>
  <si>
    <t xml:space="preserve">'Unit Price (INR)': all values within expected range [0, 100000]</t>
  </si>
  <si>
    <t xml:space="preserve">'Discount (%)': all values within expected range [0, 100]</t>
  </si>
  <si>
    <t xml:space="preserve">REVENUE_RECONCILE</t>
  </si>
  <si>
    <t xml:space="preserve">All Revenue values consistent with Units x Price x (1-Discount)</t>
  </si>
  <si>
    <t xml:space="preserve">OUTLIERS</t>
  </si>
  <si>
    <t xml:space="preserve">'Revenue (INR)': 8 statistical outlier(s) flagged (IQR method), not removed</t>
  </si>
  <si>
    <t xml:space="preserve">SAVE</t>
  </si>
  <si>
    <t xml:space="preserve">Cleaned dataset written to /home/claude/pipeline_out/cleaned_data.csv (100 rows, started from 100)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</si>
</sst>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₹#,##0"/>
    <numFmt numFmtId="167" formatCode="0.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6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B3A6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63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3A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C0504D"/>
      <rgbColor rgb="FFFFF3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1B3A63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Dashboard!C15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Dashboard!$B$16:$B$19</c:f>
              <c:strCache>
                <c:ptCount val="4"/>
                <c:pt idx="0">
                  <c:v>Art &amp; Craft</c:v>
                </c:pt>
                <c:pt idx="1">
                  <c:v>Office Supplies</c:v>
                </c:pt>
                <c:pt idx="2">
                  <c:v>Paper Products</c:v>
                </c:pt>
                <c:pt idx="3">
                  <c:v>Writing</c:v>
                </c:pt>
              </c:strCache>
            </c:strRef>
          </c:cat>
          <c:val>
            <c:numRef>
              <c:f>Dashboard!$C$16:$C$19</c:f>
              <c:numCache>
                <c:formatCode>\₹#,##0</c:formatCode>
                <c:ptCount val="4"/>
                <c:pt idx="0">
                  <c:v>672087</c:v>
                </c:pt>
                <c:pt idx="1">
                  <c:v>216522</c:v>
                </c:pt>
                <c:pt idx="2">
                  <c:v>106090</c:v>
                </c:pt>
                <c:pt idx="3">
                  <c:v>456944</c:v>
                </c:pt>
              </c:numCache>
            </c:numRef>
          </c:val>
        </c:ser>
        <c:gapWidth val="150"/>
        <c:overlap val="0"/>
        <c:axId val="53921388"/>
        <c:axId val="65619804"/>
      </c:barChart>
      <c:catAx>
        <c:axId val="539213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19804"/>
        <c:crosses val="autoZero"/>
        <c:auto val="1"/>
        <c:lblAlgn val="ctr"/>
        <c:lblOffset val="100"/>
        <c:noMultiLvlLbl val="0"/>
      </c:catAx>
      <c:valAx>
        <c:axId val="656198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213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Dashboard!C23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Dashboard!$B$24:$B$28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Dashboard!$C$24:$C$28</c:f>
              <c:numCache>
                <c:formatCode>\₹#,##0</c:formatCode>
                <c:ptCount val="5"/>
                <c:pt idx="0">
                  <c:v>116241</c:v>
                </c:pt>
                <c:pt idx="1">
                  <c:v>403836</c:v>
                </c:pt>
                <c:pt idx="2">
                  <c:v>319167</c:v>
                </c:pt>
                <c:pt idx="3">
                  <c:v>278389</c:v>
                </c:pt>
                <c:pt idx="4">
                  <c:v>334010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Trend'!C2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Trend'!$B$3:$B$8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'Monthly Trend'!$C$3:$C$8</c:f>
              <c:numCache>
                <c:formatCode>General</c:formatCode>
                <c:ptCount val="6"/>
                <c:pt idx="0">
                  <c:v>131316</c:v>
                </c:pt>
                <c:pt idx="1">
                  <c:v>202746</c:v>
                </c:pt>
                <c:pt idx="2">
                  <c:v>168303</c:v>
                </c:pt>
                <c:pt idx="3">
                  <c:v>469377</c:v>
                </c:pt>
                <c:pt idx="4">
                  <c:v>131807</c:v>
                </c:pt>
                <c:pt idx="5">
                  <c:v>177409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93169"/>
        <c:axId val="27959252"/>
      </c:lineChart>
      <c:catAx>
        <c:axId val="60931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59252"/>
        <c:crosses val="autoZero"/>
        <c:auto val="1"/>
        <c:lblAlgn val="ctr"/>
        <c:lblOffset val="100"/>
        <c:noMultiLvlLbl val="0"/>
      </c:catAx>
      <c:valAx>
        <c:axId val="27959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31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131040</xdr:rowOff>
    </xdr:from>
    <xdr:to>
      <xdr:col>13</xdr:col>
      <xdr:colOff>507600</xdr:colOff>
      <xdr:row>20</xdr:row>
      <xdr:rowOff>132120</xdr:rowOff>
    </xdr:to>
    <xdr:graphicFrame>
      <xdr:nvGraphicFramePr>
        <xdr:cNvPr id="0" name="Chart 1"/>
        <xdr:cNvGraphicFramePr/>
      </xdr:nvGraphicFramePr>
      <xdr:xfrm>
        <a:off x="5052240" y="7621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131040</xdr:rowOff>
    </xdr:from>
    <xdr:to>
      <xdr:col>13</xdr:col>
      <xdr:colOff>507600</xdr:colOff>
      <xdr:row>38</xdr:row>
      <xdr:rowOff>132120</xdr:rowOff>
    </xdr:to>
    <xdr:graphicFrame>
      <xdr:nvGraphicFramePr>
        <xdr:cNvPr id="1" name="Chart 2"/>
        <xdr:cNvGraphicFramePr/>
      </xdr:nvGraphicFramePr>
      <xdr:xfrm>
        <a:off x="5052240" y="41911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17</xdr:col>
      <xdr:colOff>581760</xdr:colOff>
      <xdr:row>21</xdr:row>
      <xdr:rowOff>90000</xdr:rowOff>
    </xdr:to>
    <xdr:graphicFrame>
      <xdr:nvGraphicFramePr>
        <xdr:cNvPr id="2" name="Chart 1"/>
        <xdr:cNvGraphicFramePr/>
      </xdr:nvGraphicFramePr>
      <xdr:xfrm>
        <a:off x="3526200" y="19044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edData" displayName="CleanedData" ref="A1:L101" headerRowCount="1" totalsRowCount="0" totalsRowShown="0">
  <autoFilter ref="A1:L101"/>
  <tableColumns count="12">
    <tableColumn id="1" name="Sale ID"/>
    <tableColumn id="2" name="Date"/>
    <tableColumn id="3" name="Brand"/>
    <tableColumn id="4" name="Product"/>
    <tableColumn id="5" name="Category"/>
    <tableColumn id="6" name="Region"/>
    <tableColumn id="7" name="Retailer"/>
    <tableColumn id="8" name="Units Sold"/>
    <tableColumn id="9" name="Unit Price (INR)"/>
    <tableColumn id="10" name="Discount (%)"/>
    <tableColumn id="11" name="Revenue (INR)"/>
    <tableColumn id="12" name="Outlier Flag"/>
  </tableColumns>
</table>
</file>

<file path=xl/tables/table2.xml><?xml version="1.0" encoding="utf-8"?>
<table xmlns="http://schemas.openxmlformats.org/spreadsheetml/2006/main" id="2" name="CleaningLog" displayName="CleaningLog" ref="B4:D14" headerRowCount="1" totalsRowCount="0" totalsRowShown="0">
  <autoFilter ref="B4:D14"/>
  <tableColumns count="3">
    <tableColumn id="1" name="Timestamp"/>
    <tableColumn id="2" name="Action"/>
    <tableColumn id="3" name="Detail"/>
  </tableColumns>
</table>
</file>

<file path=xl/tables/table3.xml><?xml version="1.0" encoding="utf-8"?>
<table xmlns="http://schemas.openxmlformats.org/spreadsheetml/2006/main" id="3" name="MonthlyRevenue" displayName="MonthlyRevenue" ref="B2:C9" headerRowCount="1" totalsRowCount="0" totalsRowShown="0">
  <autoFilter ref="B2:C9"/>
  <tableColumns count="2">
    <tableColumn id="1" name="Month"/>
    <tableColumn id="2" name="Revenue (INR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n">
        <f aca="false">COUNTA('Cleaned Data'!A2:A100000)</f>
        <v>100</v>
      </c>
    </row>
    <row r="6" customFormat="false" ht="15" hidden="false" customHeight="false" outlineLevel="0" collapsed="false">
      <c r="B6" s="3" t="s">
        <v>3</v>
      </c>
      <c r="D6" s="5" t="n">
        <f aca="false">SUM('Cleaned Data'!K:K)</f>
        <v>1451643</v>
      </c>
    </row>
    <row r="7" customFormat="false" ht="15" hidden="false" customHeight="false" outlineLevel="0" collapsed="false">
      <c r="B7" s="3" t="s">
        <v>4</v>
      </c>
      <c r="D7" s="4" t="n">
        <f aca="false">SUM('Cleaned Data'!H:H)</f>
        <v>10334</v>
      </c>
    </row>
    <row r="8" customFormat="false" ht="15" hidden="false" customHeight="false" outlineLevel="0" collapsed="false">
      <c r="B8" s="3" t="s">
        <v>5</v>
      </c>
      <c r="D8" s="5" t="n">
        <f aca="false">AVERAGE('Cleaned Data'!K:K)</f>
        <v>14516.43</v>
      </c>
    </row>
    <row r="9" customFormat="false" ht="15" hidden="false" customHeight="false" outlineLevel="0" collapsed="false">
      <c r="B9" s="3" t="s">
        <v>6</v>
      </c>
      <c r="D9" s="6" t="n">
        <f aca="false">AVERAGE('Cleaned Data'!J:J)</f>
        <v>4.87</v>
      </c>
    </row>
    <row r="10" customFormat="false" ht="15" hidden="false" customHeight="false" outlineLevel="0" collapsed="false">
      <c r="B10" s="3" t="s">
        <v>7</v>
      </c>
      <c r="D10" s="4" t="n">
        <f aca="false">COUNTIF('Cleaned Data'!L:L,"Yes")</f>
        <v>8</v>
      </c>
    </row>
    <row r="14" customFormat="false" ht="15" hidden="false" customHeight="false" outlineLevel="0" collapsed="false">
      <c r="B14" s="3" t="s">
        <v>8</v>
      </c>
    </row>
    <row r="15" customFormat="false" ht="15" hidden="false" customHeight="false" outlineLevel="0" collapsed="false">
      <c r="B15" s="7" t="s">
        <v>9</v>
      </c>
      <c r="C15" s="7" t="s">
        <v>10</v>
      </c>
    </row>
    <row r="16" customFormat="false" ht="15" hidden="false" customHeight="false" outlineLevel="0" collapsed="false">
      <c r="B16" s="8" t="s">
        <v>11</v>
      </c>
      <c r="C16" s="9" t="n">
        <f aca="false">SUMIF('Cleaned Data'!E:E,B16,'Cleaned Data'!K:K)</f>
        <v>672087</v>
      </c>
    </row>
    <row r="17" customFormat="false" ht="15" hidden="false" customHeight="false" outlineLevel="0" collapsed="false">
      <c r="B17" s="8" t="s">
        <v>12</v>
      </c>
      <c r="C17" s="9" t="n">
        <f aca="false">SUMIF('Cleaned Data'!E:E,B17,'Cleaned Data'!K:K)</f>
        <v>216522</v>
      </c>
    </row>
    <row r="18" customFormat="false" ht="15" hidden="false" customHeight="false" outlineLevel="0" collapsed="false">
      <c r="B18" s="8" t="s">
        <v>13</v>
      </c>
      <c r="C18" s="9" t="n">
        <f aca="false">SUMIF('Cleaned Data'!E:E,B18,'Cleaned Data'!K:K)</f>
        <v>106090</v>
      </c>
    </row>
    <row r="19" customFormat="false" ht="15" hidden="false" customHeight="false" outlineLevel="0" collapsed="false">
      <c r="B19" s="8" t="s">
        <v>14</v>
      </c>
      <c r="C19" s="9" t="n">
        <f aca="false">SUMIF('Cleaned Data'!E:E,B19,'Cleaned Data'!K:K)</f>
        <v>456944</v>
      </c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7" t="s">
        <v>16</v>
      </c>
      <c r="C23" s="7" t="s">
        <v>10</v>
      </c>
    </row>
    <row r="24" customFormat="false" ht="15" hidden="false" customHeight="false" outlineLevel="0" collapsed="false">
      <c r="B24" s="8" t="s">
        <v>17</v>
      </c>
      <c r="C24" s="9" t="n">
        <f aca="false">SUMIF('Cleaned Data'!F:F,B24,'Cleaned Data'!K:K)</f>
        <v>116241</v>
      </c>
    </row>
    <row r="25" customFormat="false" ht="15" hidden="false" customHeight="false" outlineLevel="0" collapsed="false">
      <c r="B25" s="8" t="s">
        <v>18</v>
      </c>
      <c r="C25" s="9" t="n">
        <f aca="false">SUMIF('Cleaned Data'!F:F,B25,'Cleaned Data'!K:K)</f>
        <v>403836</v>
      </c>
    </row>
    <row r="26" customFormat="false" ht="15" hidden="false" customHeight="false" outlineLevel="0" collapsed="false">
      <c r="B26" s="8" t="s">
        <v>19</v>
      </c>
      <c r="C26" s="9" t="n">
        <f aca="false">SUMIF('Cleaned Data'!F:F,B26,'Cleaned Data'!K:K)</f>
        <v>319167</v>
      </c>
    </row>
    <row r="27" customFormat="false" ht="15" hidden="false" customHeight="false" outlineLevel="0" collapsed="false">
      <c r="B27" s="8" t="s">
        <v>20</v>
      </c>
      <c r="C27" s="9" t="n">
        <f aca="false">SUMIF('Cleaned Data'!F:F,B27,'Cleaned Data'!K:K)</f>
        <v>278389</v>
      </c>
    </row>
    <row r="28" customFormat="false" ht="15" hidden="false" customHeight="false" outlineLevel="0" collapsed="false">
      <c r="B28" s="8" t="s">
        <v>21</v>
      </c>
      <c r="C28" s="9" t="n">
        <f aca="false">SUMIF('Cleaned Data'!F:F,B28,'Cleaned Data'!K:K)</f>
        <v>334010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2"/>
  </cols>
  <sheetData>
    <row r="1" customFormat="false" ht="19.7" hidden="false" customHeight="false" outlineLevel="0" collapsed="false">
      <c r="B1" s="1" t="s">
        <v>22</v>
      </c>
    </row>
    <row r="2" customFormat="false" ht="15" hidden="false" customHeight="false" outlineLevel="0" collapsed="false">
      <c r="B2" s="10" t="s">
        <v>23</v>
      </c>
      <c r="C2" s="10" t="s">
        <v>10</v>
      </c>
    </row>
    <row r="3" customFormat="false" ht="15" hidden="false" customHeight="false" outlineLevel="0" collapsed="false">
      <c r="B3" s="11" t="s">
        <v>24</v>
      </c>
      <c r="C3" s="11" t="n">
        <v>131316</v>
      </c>
    </row>
    <row r="4" customFormat="false" ht="15" hidden="false" customHeight="false" outlineLevel="0" collapsed="false">
      <c r="B4" s="11" t="s">
        <v>25</v>
      </c>
      <c r="C4" s="11" t="n">
        <v>202746</v>
      </c>
    </row>
    <row r="5" customFormat="false" ht="15" hidden="false" customHeight="false" outlineLevel="0" collapsed="false">
      <c r="B5" s="11" t="s">
        <v>26</v>
      </c>
      <c r="C5" s="11" t="n">
        <v>168303</v>
      </c>
    </row>
    <row r="6" customFormat="false" ht="15" hidden="false" customHeight="false" outlineLevel="0" collapsed="false">
      <c r="B6" s="11" t="s">
        <v>27</v>
      </c>
      <c r="C6" s="11" t="n">
        <v>469377</v>
      </c>
    </row>
    <row r="7" customFormat="false" ht="15" hidden="false" customHeight="false" outlineLevel="0" collapsed="false">
      <c r="B7" s="11" t="s">
        <v>28</v>
      </c>
      <c r="C7" s="11" t="n">
        <v>131807</v>
      </c>
    </row>
    <row r="8" customFormat="false" ht="15" hidden="false" customHeight="false" outlineLevel="0" collapsed="false">
      <c r="B8" s="11" t="s">
        <v>29</v>
      </c>
      <c r="C8" s="11" t="n">
        <v>177409</v>
      </c>
    </row>
    <row r="9" customFormat="false" ht="15" hidden="false" customHeight="false" outlineLevel="0" collapsed="false">
      <c r="B9" s="11" t="s">
        <v>30</v>
      </c>
      <c r="C9" s="11" t="n">
        <v>170685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2" min="8" style="0" width="12"/>
  </cols>
  <sheetData>
    <row r="1" customFormat="false" ht="15" hidden="false" customHeight="false" outlineLevel="0" collapsed="false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9</v>
      </c>
      <c r="F1" s="10" t="s">
        <v>16</v>
      </c>
      <c r="G1" s="10" t="s">
        <v>35</v>
      </c>
      <c r="H1" s="10" t="s">
        <v>36</v>
      </c>
      <c r="I1" s="10" t="s">
        <v>37</v>
      </c>
      <c r="J1" s="10" t="s">
        <v>38</v>
      </c>
      <c r="K1" s="10" t="s">
        <v>10</v>
      </c>
      <c r="L1" s="10" t="s">
        <v>39</v>
      </c>
    </row>
    <row r="2" customFormat="false" ht="15" hidden="false" customHeight="false" outlineLevel="0" collapsed="false">
      <c r="A2" s="11" t="s">
        <v>40</v>
      </c>
      <c r="B2" s="11" t="s">
        <v>41</v>
      </c>
      <c r="C2" s="11" t="s">
        <v>42</v>
      </c>
      <c r="D2" s="11" t="s">
        <v>43</v>
      </c>
      <c r="E2" s="11" t="s">
        <v>11</v>
      </c>
      <c r="F2" s="11" t="s">
        <v>19</v>
      </c>
      <c r="G2" s="11" t="s">
        <v>44</v>
      </c>
      <c r="H2" s="11" t="n">
        <v>88</v>
      </c>
      <c r="I2" s="11" t="n">
        <v>95</v>
      </c>
      <c r="J2" s="11" t="n">
        <v>2</v>
      </c>
      <c r="K2" s="11" t="n">
        <v>8193</v>
      </c>
      <c r="L2" s="11" t="s">
        <v>45</v>
      </c>
    </row>
    <row r="3" customFormat="false" ht="15" hidden="false" customHeight="false" outlineLevel="0" collapsed="false">
      <c r="A3" s="11" t="s">
        <v>46</v>
      </c>
      <c r="B3" s="11" t="s">
        <v>47</v>
      </c>
      <c r="C3" s="11" t="s">
        <v>48</v>
      </c>
      <c r="D3" s="11" t="s">
        <v>49</v>
      </c>
      <c r="E3" s="11" t="s">
        <v>14</v>
      </c>
      <c r="F3" s="11" t="s">
        <v>18</v>
      </c>
      <c r="G3" s="11" t="s">
        <v>50</v>
      </c>
      <c r="H3" s="11" t="n">
        <v>141</v>
      </c>
      <c r="I3" s="11" t="n">
        <v>220</v>
      </c>
      <c r="J3" s="11" t="n">
        <v>2</v>
      </c>
      <c r="K3" s="11" t="n">
        <v>30400</v>
      </c>
      <c r="L3" s="11" t="s">
        <v>45</v>
      </c>
    </row>
    <row r="4" customFormat="false" ht="15" hidden="false" customHeight="false" outlineLevel="0" collapsed="false">
      <c r="A4" s="11" t="s">
        <v>51</v>
      </c>
      <c r="B4" s="11" t="s">
        <v>52</v>
      </c>
      <c r="C4" s="11" t="s">
        <v>53</v>
      </c>
      <c r="D4" s="11" t="s">
        <v>54</v>
      </c>
      <c r="E4" s="11" t="s">
        <v>12</v>
      </c>
      <c r="F4" s="11" t="s">
        <v>19</v>
      </c>
      <c r="G4" s="11" t="s">
        <v>44</v>
      </c>
      <c r="H4" s="11" t="n">
        <v>43</v>
      </c>
      <c r="I4" s="11" t="n">
        <v>20</v>
      </c>
      <c r="J4" s="11" t="n">
        <v>5</v>
      </c>
      <c r="K4" s="11" t="n">
        <v>817</v>
      </c>
      <c r="L4" s="11" t="s">
        <v>45</v>
      </c>
    </row>
    <row r="5" customFormat="false" ht="15" hidden="false" customHeight="false" outlineLevel="0" collapsed="false">
      <c r="A5" s="11" t="s">
        <v>55</v>
      </c>
      <c r="B5" s="11" t="s">
        <v>52</v>
      </c>
      <c r="C5" s="11" t="s">
        <v>48</v>
      </c>
      <c r="D5" s="11" t="s">
        <v>49</v>
      </c>
      <c r="E5" s="11" t="s">
        <v>14</v>
      </c>
      <c r="F5" s="11" t="s">
        <v>20</v>
      </c>
      <c r="G5" s="11" t="s">
        <v>44</v>
      </c>
      <c r="H5" s="11" t="n">
        <v>30</v>
      </c>
      <c r="I5" s="11" t="n">
        <v>220</v>
      </c>
      <c r="J5" s="11" t="n">
        <v>2</v>
      </c>
      <c r="K5" s="11" t="n">
        <v>6468</v>
      </c>
      <c r="L5" s="11" t="s">
        <v>45</v>
      </c>
    </row>
    <row r="6" customFormat="false" ht="15" hidden="false" customHeight="false" outlineLevel="0" collapsed="false">
      <c r="A6" s="11" t="s">
        <v>56</v>
      </c>
      <c r="B6" s="11" t="s">
        <v>57</v>
      </c>
      <c r="C6" s="11" t="s">
        <v>58</v>
      </c>
      <c r="D6" s="11" t="s">
        <v>59</v>
      </c>
      <c r="E6" s="11" t="s">
        <v>13</v>
      </c>
      <c r="F6" s="11" t="s">
        <v>19</v>
      </c>
      <c r="G6" s="11" t="s">
        <v>60</v>
      </c>
      <c r="H6" s="11" t="n">
        <v>132</v>
      </c>
      <c r="I6" s="11" t="n">
        <v>85</v>
      </c>
      <c r="J6" s="11" t="n">
        <v>10</v>
      </c>
      <c r="K6" s="11" t="n">
        <v>10098</v>
      </c>
      <c r="L6" s="11" t="s">
        <v>45</v>
      </c>
    </row>
    <row r="7" customFormat="false" ht="15" hidden="false" customHeight="false" outlineLevel="0" collapsed="false">
      <c r="A7" s="11" t="s">
        <v>61</v>
      </c>
      <c r="B7" s="11" t="s">
        <v>62</v>
      </c>
      <c r="C7" s="11" t="s">
        <v>53</v>
      </c>
      <c r="D7" s="11" t="s">
        <v>54</v>
      </c>
      <c r="E7" s="11" t="s">
        <v>12</v>
      </c>
      <c r="F7" s="11" t="s">
        <v>20</v>
      </c>
      <c r="G7" s="11" t="s">
        <v>60</v>
      </c>
      <c r="H7" s="11" t="n">
        <v>193</v>
      </c>
      <c r="I7" s="11" t="n">
        <v>20</v>
      </c>
      <c r="J7" s="11" t="n">
        <v>5</v>
      </c>
      <c r="K7" s="11" t="n">
        <v>3667</v>
      </c>
      <c r="L7" s="11" t="s">
        <v>45</v>
      </c>
    </row>
    <row r="8" customFormat="false" ht="15" hidden="false" customHeight="false" outlineLevel="0" collapsed="false">
      <c r="A8" s="11" t="s">
        <v>63</v>
      </c>
      <c r="B8" s="11" t="s">
        <v>64</v>
      </c>
      <c r="C8" s="11" t="s">
        <v>65</v>
      </c>
      <c r="D8" s="11" t="s">
        <v>66</v>
      </c>
      <c r="E8" s="11" t="s">
        <v>14</v>
      </c>
      <c r="F8" s="11" t="s">
        <v>21</v>
      </c>
      <c r="G8" s="11" t="s">
        <v>60</v>
      </c>
      <c r="H8" s="11" t="n">
        <v>35</v>
      </c>
      <c r="I8" s="11" t="n">
        <v>450</v>
      </c>
      <c r="J8" s="11" t="n">
        <v>0</v>
      </c>
      <c r="K8" s="11" t="n">
        <v>15750</v>
      </c>
      <c r="L8" s="11" t="s">
        <v>45</v>
      </c>
    </row>
    <row r="9" customFormat="false" ht="15" hidden="false" customHeight="false" outlineLevel="0" collapsed="false">
      <c r="A9" s="11" t="s">
        <v>67</v>
      </c>
      <c r="B9" s="11" t="s">
        <v>68</v>
      </c>
      <c r="C9" s="11" t="s">
        <v>58</v>
      </c>
      <c r="D9" s="11" t="s">
        <v>69</v>
      </c>
      <c r="E9" s="11" t="s">
        <v>13</v>
      </c>
      <c r="F9" s="11" t="s">
        <v>21</v>
      </c>
      <c r="G9" s="11" t="s">
        <v>60</v>
      </c>
      <c r="H9" s="11" t="n">
        <v>154</v>
      </c>
      <c r="I9" s="11" t="n">
        <v>95</v>
      </c>
      <c r="J9" s="11" t="n">
        <v>10</v>
      </c>
      <c r="K9" s="11" t="n">
        <v>13167</v>
      </c>
      <c r="L9" s="11" t="s">
        <v>45</v>
      </c>
    </row>
    <row r="10" customFormat="false" ht="15" hidden="false" customHeight="false" outlineLevel="0" collapsed="false">
      <c r="A10" s="11" t="s">
        <v>70</v>
      </c>
      <c r="B10" s="11" t="s">
        <v>71</v>
      </c>
      <c r="C10" s="11" t="s">
        <v>72</v>
      </c>
      <c r="D10" s="11" t="s">
        <v>73</v>
      </c>
      <c r="E10" s="11" t="s">
        <v>11</v>
      </c>
      <c r="F10" s="11" t="s">
        <v>17</v>
      </c>
      <c r="G10" s="11" t="s">
        <v>74</v>
      </c>
      <c r="H10" s="11" t="n">
        <v>18</v>
      </c>
      <c r="I10" s="11" t="n">
        <v>160</v>
      </c>
      <c r="J10" s="11" t="n">
        <v>0</v>
      </c>
      <c r="K10" s="11" t="n">
        <v>2880</v>
      </c>
      <c r="L10" s="11" t="s">
        <v>45</v>
      </c>
    </row>
    <row r="11" customFormat="false" ht="15" hidden="false" customHeight="false" outlineLevel="0" collapsed="false">
      <c r="A11" s="11" t="s">
        <v>75</v>
      </c>
      <c r="B11" s="11" t="s">
        <v>76</v>
      </c>
      <c r="C11" s="11" t="s">
        <v>48</v>
      </c>
      <c r="D11" s="11" t="s">
        <v>77</v>
      </c>
      <c r="E11" s="11" t="s">
        <v>11</v>
      </c>
      <c r="F11" s="11" t="s">
        <v>19</v>
      </c>
      <c r="G11" s="11" t="s">
        <v>74</v>
      </c>
      <c r="H11" s="11" t="n">
        <v>34</v>
      </c>
      <c r="I11" s="11" t="n">
        <v>280</v>
      </c>
      <c r="J11" s="11" t="n">
        <v>5</v>
      </c>
      <c r="K11" s="11" t="n">
        <v>9044</v>
      </c>
      <c r="L11" s="11" t="s">
        <v>45</v>
      </c>
    </row>
    <row r="12" customFormat="false" ht="15" hidden="false" customHeight="false" outlineLevel="0" collapsed="false">
      <c r="A12" s="11" t="s">
        <v>78</v>
      </c>
      <c r="B12" s="11" t="s">
        <v>79</v>
      </c>
      <c r="C12" s="11" t="s">
        <v>80</v>
      </c>
      <c r="D12" s="11" t="s">
        <v>81</v>
      </c>
      <c r="E12" s="11" t="s">
        <v>11</v>
      </c>
      <c r="F12" s="11" t="s">
        <v>18</v>
      </c>
      <c r="G12" s="11" t="s">
        <v>60</v>
      </c>
      <c r="H12" s="11" t="n">
        <v>165</v>
      </c>
      <c r="I12" s="11" t="n">
        <v>70</v>
      </c>
      <c r="J12" s="11" t="n">
        <v>2</v>
      </c>
      <c r="K12" s="11" t="n">
        <v>11319</v>
      </c>
      <c r="L12" s="11" t="s">
        <v>45</v>
      </c>
    </row>
    <row r="13" customFormat="false" ht="15" hidden="false" customHeight="false" outlineLevel="0" collapsed="false">
      <c r="A13" s="11" t="s">
        <v>82</v>
      </c>
      <c r="B13" s="11" t="s">
        <v>83</v>
      </c>
      <c r="C13" s="11" t="s">
        <v>42</v>
      </c>
      <c r="D13" s="11" t="s">
        <v>84</v>
      </c>
      <c r="E13" s="11" t="s">
        <v>11</v>
      </c>
      <c r="F13" s="11" t="s">
        <v>18</v>
      </c>
      <c r="G13" s="11" t="s">
        <v>85</v>
      </c>
      <c r="H13" s="11" t="n">
        <v>158</v>
      </c>
      <c r="I13" s="11" t="n">
        <v>130</v>
      </c>
      <c r="J13" s="11" t="n">
        <v>5</v>
      </c>
      <c r="K13" s="11" t="n">
        <v>19513</v>
      </c>
      <c r="L13" s="11" t="s">
        <v>45</v>
      </c>
    </row>
    <row r="14" customFormat="false" ht="15" hidden="false" customHeight="false" outlineLevel="0" collapsed="false">
      <c r="A14" s="11" t="s">
        <v>86</v>
      </c>
      <c r="B14" s="11" t="s">
        <v>87</v>
      </c>
      <c r="C14" s="11" t="s">
        <v>88</v>
      </c>
      <c r="D14" s="11" t="s">
        <v>89</v>
      </c>
      <c r="E14" s="11" t="s">
        <v>12</v>
      </c>
      <c r="F14" s="11" t="s">
        <v>20</v>
      </c>
      <c r="G14" s="11" t="s">
        <v>74</v>
      </c>
      <c r="H14" s="11" t="n">
        <v>180</v>
      </c>
      <c r="I14" s="11" t="n">
        <v>90</v>
      </c>
      <c r="J14" s="11" t="n">
        <v>7</v>
      </c>
      <c r="K14" s="11" t="n">
        <v>15066</v>
      </c>
      <c r="L14" s="11" t="s">
        <v>45</v>
      </c>
    </row>
    <row r="15" customFormat="false" ht="15" hidden="false" customHeight="false" outlineLevel="0" collapsed="false">
      <c r="A15" s="11" t="s">
        <v>90</v>
      </c>
      <c r="B15" s="11" t="s">
        <v>87</v>
      </c>
      <c r="C15" s="11" t="s">
        <v>80</v>
      </c>
      <c r="D15" s="11" t="s">
        <v>91</v>
      </c>
      <c r="E15" s="11" t="s">
        <v>11</v>
      </c>
      <c r="F15" s="11" t="s">
        <v>19</v>
      </c>
      <c r="G15" s="11" t="s">
        <v>44</v>
      </c>
      <c r="H15" s="11" t="n">
        <v>103</v>
      </c>
      <c r="I15" s="11" t="n">
        <v>180</v>
      </c>
      <c r="J15" s="11" t="n">
        <v>0</v>
      </c>
      <c r="K15" s="11" t="n">
        <v>18540</v>
      </c>
      <c r="L15" s="11" t="s">
        <v>45</v>
      </c>
    </row>
    <row r="16" customFormat="false" ht="15" hidden="false" customHeight="false" outlineLevel="0" collapsed="false">
      <c r="A16" s="11" t="s">
        <v>92</v>
      </c>
      <c r="B16" s="11" t="s">
        <v>93</v>
      </c>
      <c r="C16" s="11" t="s">
        <v>88</v>
      </c>
      <c r="D16" s="11" t="s">
        <v>94</v>
      </c>
      <c r="E16" s="11" t="s">
        <v>14</v>
      </c>
      <c r="F16" s="11" t="s">
        <v>18</v>
      </c>
      <c r="G16" s="11" t="s">
        <v>50</v>
      </c>
      <c r="H16" s="11" t="n">
        <v>37</v>
      </c>
      <c r="I16" s="11" t="n">
        <v>40</v>
      </c>
      <c r="J16" s="11" t="n">
        <v>10</v>
      </c>
      <c r="K16" s="11" t="n">
        <v>1332</v>
      </c>
      <c r="L16" s="11" t="s">
        <v>45</v>
      </c>
    </row>
    <row r="17" customFormat="false" ht="15" hidden="false" customHeight="false" outlineLevel="0" collapsed="false">
      <c r="A17" s="11" t="s">
        <v>95</v>
      </c>
      <c r="B17" s="11" t="s">
        <v>96</v>
      </c>
      <c r="C17" s="11" t="s">
        <v>58</v>
      </c>
      <c r="D17" s="11" t="s">
        <v>69</v>
      </c>
      <c r="E17" s="11" t="s">
        <v>13</v>
      </c>
      <c r="F17" s="11" t="s">
        <v>20</v>
      </c>
      <c r="G17" s="11" t="s">
        <v>85</v>
      </c>
      <c r="H17" s="11" t="n">
        <v>131</v>
      </c>
      <c r="I17" s="11" t="n">
        <v>95</v>
      </c>
      <c r="J17" s="11" t="n">
        <v>0</v>
      </c>
      <c r="K17" s="11" t="n">
        <v>12445</v>
      </c>
      <c r="L17" s="11" t="s">
        <v>45</v>
      </c>
    </row>
    <row r="18" customFormat="false" ht="15" hidden="false" customHeight="false" outlineLevel="0" collapsed="false">
      <c r="A18" s="11" t="s">
        <v>97</v>
      </c>
      <c r="B18" s="11" t="s">
        <v>96</v>
      </c>
      <c r="C18" s="11" t="s">
        <v>58</v>
      </c>
      <c r="D18" s="11" t="s">
        <v>98</v>
      </c>
      <c r="E18" s="11" t="s">
        <v>13</v>
      </c>
      <c r="F18" s="11" t="s">
        <v>20</v>
      </c>
      <c r="G18" s="11" t="s">
        <v>74</v>
      </c>
      <c r="H18" s="11" t="n">
        <v>162</v>
      </c>
      <c r="I18" s="11" t="n">
        <v>60</v>
      </c>
      <c r="J18" s="11" t="n">
        <v>0</v>
      </c>
      <c r="K18" s="11" t="n">
        <v>9720</v>
      </c>
      <c r="L18" s="11" t="s">
        <v>45</v>
      </c>
    </row>
    <row r="19" customFormat="false" ht="15" hidden="false" customHeight="false" outlineLevel="0" collapsed="false">
      <c r="A19" s="11" t="s">
        <v>99</v>
      </c>
      <c r="B19" s="11" t="s">
        <v>100</v>
      </c>
      <c r="C19" s="11" t="s">
        <v>53</v>
      </c>
      <c r="D19" s="11" t="s">
        <v>101</v>
      </c>
      <c r="E19" s="11" t="s">
        <v>14</v>
      </c>
      <c r="F19" s="11" t="s">
        <v>18</v>
      </c>
      <c r="G19" s="11" t="s">
        <v>74</v>
      </c>
      <c r="H19" s="11" t="n">
        <v>181</v>
      </c>
      <c r="I19" s="11" t="n">
        <v>45</v>
      </c>
      <c r="J19" s="11" t="n">
        <v>2</v>
      </c>
      <c r="K19" s="11" t="n">
        <v>7982</v>
      </c>
      <c r="L19" s="11" t="s">
        <v>45</v>
      </c>
    </row>
    <row r="20" customFormat="false" ht="15" hidden="false" customHeight="false" outlineLevel="0" collapsed="false">
      <c r="A20" s="11" t="s">
        <v>102</v>
      </c>
      <c r="B20" s="11" t="s">
        <v>103</v>
      </c>
      <c r="C20" s="11" t="s">
        <v>80</v>
      </c>
      <c r="D20" s="11" t="s">
        <v>91</v>
      </c>
      <c r="E20" s="11" t="s">
        <v>11</v>
      </c>
      <c r="F20" s="11" t="s">
        <v>19</v>
      </c>
      <c r="G20" s="11" t="s">
        <v>44</v>
      </c>
      <c r="H20" s="11" t="n">
        <v>107</v>
      </c>
      <c r="I20" s="11" t="n">
        <v>180</v>
      </c>
      <c r="J20" s="11" t="n">
        <v>5</v>
      </c>
      <c r="K20" s="11" t="n">
        <v>18297</v>
      </c>
      <c r="L20" s="11" t="s">
        <v>45</v>
      </c>
    </row>
    <row r="21" customFormat="false" ht="15" hidden="false" customHeight="false" outlineLevel="0" collapsed="false">
      <c r="A21" s="11" t="s">
        <v>104</v>
      </c>
      <c r="B21" s="11" t="s">
        <v>105</v>
      </c>
      <c r="C21" s="11" t="s">
        <v>65</v>
      </c>
      <c r="D21" s="11" t="s">
        <v>66</v>
      </c>
      <c r="E21" s="11" t="s">
        <v>14</v>
      </c>
      <c r="F21" s="11" t="s">
        <v>18</v>
      </c>
      <c r="G21" s="11" t="s">
        <v>85</v>
      </c>
      <c r="H21" s="11" t="n">
        <v>24</v>
      </c>
      <c r="I21" s="11" t="n">
        <v>450</v>
      </c>
      <c r="J21" s="11" t="n">
        <v>10</v>
      </c>
      <c r="K21" s="11" t="n">
        <v>9720</v>
      </c>
      <c r="L21" s="11" t="s">
        <v>45</v>
      </c>
    </row>
    <row r="22" customFormat="false" ht="15" hidden="false" customHeight="false" outlineLevel="0" collapsed="false">
      <c r="A22" s="11" t="s">
        <v>106</v>
      </c>
      <c r="B22" s="11" t="s">
        <v>107</v>
      </c>
      <c r="C22" s="11" t="s">
        <v>42</v>
      </c>
      <c r="D22" s="11" t="s">
        <v>108</v>
      </c>
      <c r="E22" s="11" t="s">
        <v>14</v>
      </c>
      <c r="F22" s="11" t="s">
        <v>18</v>
      </c>
      <c r="G22" s="11" t="s">
        <v>85</v>
      </c>
      <c r="H22" s="11" t="n">
        <v>77</v>
      </c>
      <c r="I22" s="11" t="n">
        <v>50</v>
      </c>
      <c r="J22" s="11" t="n">
        <v>7</v>
      </c>
      <c r="K22" s="11" t="n">
        <v>3580</v>
      </c>
      <c r="L22" s="11" t="s">
        <v>45</v>
      </c>
    </row>
    <row r="23" customFormat="false" ht="15" hidden="false" customHeight="false" outlineLevel="0" collapsed="false">
      <c r="A23" s="11" t="s">
        <v>109</v>
      </c>
      <c r="B23" s="11" t="s">
        <v>110</v>
      </c>
      <c r="C23" s="11" t="s">
        <v>88</v>
      </c>
      <c r="D23" s="11" t="s">
        <v>111</v>
      </c>
      <c r="E23" s="11" t="s">
        <v>12</v>
      </c>
      <c r="F23" s="11" t="s">
        <v>21</v>
      </c>
      <c r="G23" s="11" t="s">
        <v>60</v>
      </c>
      <c r="H23" s="11" t="n">
        <v>165</v>
      </c>
      <c r="I23" s="11" t="n">
        <v>35</v>
      </c>
      <c r="J23" s="11" t="n">
        <v>5</v>
      </c>
      <c r="K23" s="11" t="n">
        <v>5486</v>
      </c>
      <c r="L23" s="11" t="s">
        <v>45</v>
      </c>
    </row>
    <row r="24" customFormat="false" ht="15" hidden="false" customHeight="false" outlineLevel="0" collapsed="false">
      <c r="A24" s="11" t="s">
        <v>112</v>
      </c>
      <c r="B24" s="11" t="s">
        <v>113</v>
      </c>
      <c r="C24" s="11" t="s">
        <v>88</v>
      </c>
      <c r="D24" s="11" t="s">
        <v>114</v>
      </c>
      <c r="E24" s="11" t="s">
        <v>12</v>
      </c>
      <c r="F24" s="11" t="s">
        <v>17</v>
      </c>
      <c r="G24" s="11" t="s">
        <v>85</v>
      </c>
      <c r="H24" s="11" t="n">
        <v>195</v>
      </c>
      <c r="I24" s="11" t="n">
        <v>25</v>
      </c>
      <c r="J24" s="11" t="n">
        <v>10</v>
      </c>
      <c r="K24" s="11" t="n">
        <v>4388</v>
      </c>
      <c r="L24" s="11" t="s">
        <v>45</v>
      </c>
    </row>
    <row r="25" customFormat="false" ht="15" hidden="false" customHeight="false" outlineLevel="0" collapsed="false">
      <c r="A25" s="11" t="s">
        <v>115</v>
      </c>
      <c r="B25" s="11" t="s">
        <v>116</v>
      </c>
      <c r="C25" s="11" t="s">
        <v>48</v>
      </c>
      <c r="D25" s="11" t="s">
        <v>117</v>
      </c>
      <c r="E25" s="11" t="s">
        <v>12</v>
      </c>
      <c r="F25" s="11" t="s">
        <v>19</v>
      </c>
      <c r="G25" s="11" t="s">
        <v>50</v>
      </c>
      <c r="H25" s="11" t="n">
        <v>191</v>
      </c>
      <c r="I25" s="11" t="n">
        <v>150</v>
      </c>
      <c r="J25" s="11" t="n">
        <v>0</v>
      </c>
      <c r="K25" s="11" t="n">
        <v>28650</v>
      </c>
      <c r="L25" s="11" t="s">
        <v>45</v>
      </c>
    </row>
    <row r="26" customFormat="false" ht="15" hidden="false" customHeight="false" outlineLevel="0" collapsed="false">
      <c r="A26" s="11" t="s">
        <v>118</v>
      </c>
      <c r="B26" s="11" t="s">
        <v>116</v>
      </c>
      <c r="C26" s="11" t="s">
        <v>53</v>
      </c>
      <c r="D26" s="11" t="s">
        <v>54</v>
      </c>
      <c r="E26" s="11" t="s">
        <v>12</v>
      </c>
      <c r="F26" s="11" t="s">
        <v>20</v>
      </c>
      <c r="G26" s="11" t="s">
        <v>60</v>
      </c>
      <c r="H26" s="11" t="n">
        <v>136</v>
      </c>
      <c r="I26" s="11" t="n">
        <v>20</v>
      </c>
      <c r="J26" s="11" t="n">
        <v>0</v>
      </c>
      <c r="K26" s="11" t="n">
        <v>2720</v>
      </c>
      <c r="L26" s="11" t="s">
        <v>45</v>
      </c>
    </row>
    <row r="27" customFormat="false" ht="15" hidden="false" customHeight="false" outlineLevel="0" collapsed="false">
      <c r="A27" s="11" t="s">
        <v>119</v>
      </c>
      <c r="B27" s="11" t="s">
        <v>116</v>
      </c>
      <c r="C27" s="11" t="s">
        <v>48</v>
      </c>
      <c r="D27" s="11" t="s">
        <v>120</v>
      </c>
      <c r="E27" s="11" t="s">
        <v>11</v>
      </c>
      <c r="F27" s="11" t="s">
        <v>18</v>
      </c>
      <c r="G27" s="11" t="s">
        <v>74</v>
      </c>
      <c r="H27" s="11" t="n">
        <v>134</v>
      </c>
      <c r="I27" s="11" t="n">
        <v>400</v>
      </c>
      <c r="J27" s="11" t="n">
        <v>0</v>
      </c>
      <c r="K27" s="11" t="n">
        <v>53600</v>
      </c>
      <c r="L27" s="11" t="s">
        <v>121</v>
      </c>
    </row>
    <row r="28" customFormat="false" ht="15" hidden="false" customHeight="false" outlineLevel="0" collapsed="false">
      <c r="A28" s="11" t="s">
        <v>122</v>
      </c>
      <c r="B28" s="11" t="s">
        <v>116</v>
      </c>
      <c r="C28" s="11" t="s">
        <v>72</v>
      </c>
      <c r="D28" s="11" t="s">
        <v>123</v>
      </c>
      <c r="E28" s="11" t="s">
        <v>11</v>
      </c>
      <c r="F28" s="11" t="s">
        <v>20</v>
      </c>
      <c r="G28" s="11" t="s">
        <v>60</v>
      </c>
      <c r="H28" s="11" t="n">
        <v>128</v>
      </c>
      <c r="I28" s="11" t="n">
        <v>75</v>
      </c>
      <c r="J28" s="11" t="n">
        <v>0</v>
      </c>
      <c r="K28" s="11" t="n">
        <v>9600</v>
      </c>
      <c r="L28" s="11" t="s">
        <v>45</v>
      </c>
    </row>
    <row r="29" customFormat="false" ht="15" hidden="false" customHeight="false" outlineLevel="0" collapsed="false">
      <c r="A29" s="11" t="s">
        <v>124</v>
      </c>
      <c r="B29" s="11" t="s">
        <v>125</v>
      </c>
      <c r="C29" s="11" t="s">
        <v>72</v>
      </c>
      <c r="D29" s="11" t="s">
        <v>126</v>
      </c>
      <c r="E29" s="11" t="s">
        <v>11</v>
      </c>
      <c r="F29" s="11" t="s">
        <v>19</v>
      </c>
      <c r="G29" s="11" t="s">
        <v>44</v>
      </c>
      <c r="H29" s="11" t="n">
        <v>15</v>
      </c>
      <c r="I29" s="11" t="n">
        <v>120</v>
      </c>
      <c r="J29" s="11" t="n">
        <v>10</v>
      </c>
      <c r="K29" s="11" t="n">
        <v>1620</v>
      </c>
      <c r="L29" s="11" t="s">
        <v>45</v>
      </c>
    </row>
    <row r="30" customFormat="false" ht="15" hidden="false" customHeight="false" outlineLevel="0" collapsed="false">
      <c r="A30" s="11" t="s">
        <v>127</v>
      </c>
      <c r="B30" s="11" t="s">
        <v>128</v>
      </c>
      <c r="C30" s="11" t="s">
        <v>72</v>
      </c>
      <c r="D30" s="11" t="s">
        <v>126</v>
      </c>
      <c r="E30" s="11" t="s">
        <v>11</v>
      </c>
      <c r="F30" s="11" t="s">
        <v>17</v>
      </c>
      <c r="G30" s="11" t="s">
        <v>60</v>
      </c>
      <c r="H30" s="11" t="n">
        <v>16</v>
      </c>
      <c r="I30" s="11" t="n">
        <v>120</v>
      </c>
      <c r="J30" s="11" t="n">
        <v>10</v>
      </c>
      <c r="K30" s="11" t="n">
        <v>1728</v>
      </c>
      <c r="L30" s="11" t="s">
        <v>45</v>
      </c>
    </row>
    <row r="31" customFormat="false" ht="15" hidden="false" customHeight="false" outlineLevel="0" collapsed="false">
      <c r="A31" s="11" t="s">
        <v>129</v>
      </c>
      <c r="B31" s="11" t="s">
        <v>130</v>
      </c>
      <c r="C31" s="11" t="s">
        <v>42</v>
      </c>
      <c r="D31" s="11" t="s">
        <v>84</v>
      </c>
      <c r="E31" s="11" t="s">
        <v>11</v>
      </c>
      <c r="F31" s="11" t="s">
        <v>18</v>
      </c>
      <c r="G31" s="11" t="s">
        <v>44</v>
      </c>
      <c r="H31" s="11" t="n">
        <v>50</v>
      </c>
      <c r="I31" s="11" t="n">
        <v>130</v>
      </c>
      <c r="J31" s="11" t="n">
        <v>7</v>
      </c>
      <c r="K31" s="11" t="n">
        <v>6045</v>
      </c>
      <c r="L31" s="11" t="s">
        <v>45</v>
      </c>
    </row>
    <row r="32" customFormat="false" ht="15" hidden="false" customHeight="false" outlineLevel="0" collapsed="false">
      <c r="A32" s="11" t="s">
        <v>131</v>
      </c>
      <c r="B32" s="11" t="s">
        <v>132</v>
      </c>
      <c r="C32" s="11" t="s">
        <v>42</v>
      </c>
      <c r="D32" s="11" t="s">
        <v>133</v>
      </c>
      <c r="E32" s="11" t="s">
        <v>14</v>
      </c>
      <c r="F32" s="11" t="s">
        <v>19</v>
      </c>
      <c r="G32" s="11" t="s">
        <v>74</v>
      </c>
      <c r="H32" s="11" t="n">
        <v>147</v>
      </c>
      <c r="I32" s="11" t="n">
        <v>60</v>
      </c>
      <c r="J32" s="11" t="n">
        <v>0</v>
      </c>
      <c r="K32" s="11" t="n">
        <v>8820</v>
      </c>
      <c r="L32" s="11" t="s">
        <v>45</v>
      </c>
    </row>
    <row r="33" customFormat="false" ht="15" hidden="false" customHeight="false" outlineLevel="0" collapsed="false">
      <c r="A33" s="11" t="s">
        <v>134</v>
      </c>
      <c r="B33" s="11" t="s">
        <v>135</v>
      </c>
      <c r="C33" s="11" t="s">
        <v>65</v>
      </c>
      <c r="D33" s="11" t="s">
        <v>66</v>
      </c>
      <c r="E33" s="11" t="s">
        <v>14</v>
      </c>
      <c r="F33" s="11" t="s">
        <v>21</v>
      </c>
      <c r="G33" s="11" t="s">
        <v>50</v>
      </c>
      <c r="H33" s="11" t="n">
        <v>192</v>
      </c>
      <c r="I33" s="11" t="n">
        <v>450</v>
      </c>
      <c r="J33" s="11" t="n">
        <v>5</v>
      </c>
      <c r="K33" s="11" t="n">
        <v>82080</v>
      </c>
      <c r="L33" s="11" t="s">
        <v>121</v>
      </c>
    </row>
    <row r="34" customFormat="false" ht="15" hidden="false" customHeight="false" outlineLevel="0" collapsed="false">
      <c r="A34" s="11" t="s">
        <v>136</v>
      </c>
      <c r="B34" s="11" t="s">
        <v>137</v>
      </c>
      <c r="C34" s="11" t="s">
        <v>72</v>
      </c>
      <c r="D34" s="11" t="s">
        <v>123</v>
      </c>
      <c r="E34" s="11" t="s">
        <v>11</v>
      </c>
      <c r="F34" s="11" t="s">
        <v>21</v>
      </c>
      <c r="G34" s="11" t="s">
        <v>44</v>
      </c>
      <c r="H34" s="11" t="n">
        <v>51</v>
      </c>
      <c r="I34" s="11" t="n">
        <v>75</v>
      </c>
      <c r="J34" s="11" t="n">
        <v>5</v>
      </c>
      <c r="K34" s="11" t="n">
        <v>3634</v>
      </c>
      <c r="L34" s="11" t="s">
        <v>45</v>
      </c>
    </row>
    <row r="35" customFormat="false" ht="15" hidden="false" customHeight="false" outlineLevel="0" collapsed="false">
      <c r="A35" s="11" t="s">
        <v>138</v>
      </c>
      <c r="B35" s="11" t="s">
        <v>139</v>
      </c>
      <c r="C35" s="11" t="s">
        <v>80</v>
      </c>
      <c r="D35" s="11" t="s">
        <v>140</v>
      </c>
      <c r="E35" s="11" t="s">
        <v>12</v>
      </c>
      <c r="F35" s="11" t="s">
        <v>17</v>
      </c>
      <c r="G35" s="11" t="s">
        <v>85</v>
      </c>
      <c r="H35" s="11" t="n">
        <v>193</v>
      </c>
      <c r="I35" s="11" t="n">
        <v>15</v>
      </c>
      <c r="J35" s="11" t="n">
        <v>5</v>
      </c>
      <c r="K35" s="11" t="n">
        <v>2750</v>
      </c>
      <c r="L35" s="11" t="s">
        <v>45</v>
      </c>
    </row>
    <row r="36" customFormat="false" ht="15" hidden="false" customHeight="false" outlineLevel="0" collapsed="false">
      <c r="A36" s="11" t="s">
        <v>141</v>
      </c>
      <c r="B36" s="11" t="s">
        <v>142</v>
      </c>
      <c r="C36" s="11" t="s">
        <v>72</v>
      </c>
      <c r="D36" s="11" t="s">
        <v>126</v>
      </c>
      <c r="E36" s="11" t="s">
        <v>11</v>
      </c>
      <c r="F36" s="11" t="s">
        <v>19</v>
      </c>
      <c r="G36" s="11" t="s">
        <v>60</v>
      </c>
      <c r="H36" s="11" t="n">
        <v>16</v>
      </c>
      <c r="I36" s="11" t="n">
        <v>120</v>
      </c>
      <c r="J36" s="11" t="n">
        <v>5</v>
      </c>
      <c r="K36" s="11" t="n">
        <v>1824</v>
      </c>
      <c r="L36" s="11" t="s">
        <v>45</v>
      </c>
    </row>
    <row r="37" customFormat="false" ht="15" hidden="false" customHeight="false" outlineLevel="0" collapsed="false">
      <c r="A37" s="11" t="s">
        <v>143</v>
      </c>
      <c r="B37" s="11" t="s">
        <v>144</v>
      </c>
      <c r="C37" s="11" t="s">
        <v>48</v>
      </c>
      <c r="D37" s="11" t="s">
        <v>120</v>
      </c>
      <c r="E37" s="11" t="s">
        <v>11</v>
      </c>
      <c r="F37" s="11" t="s">
        <v>18</v>
      </c>
      <c r="G37" s="11" t="s">
        <v>74</v>
      </c>
      <c r="H37" s="11" t="n">
        <v>81</v>
      </c>
      <c r="I37" s="11" t="n">
        <v>400</v>
      </c>
      <c r="J37" s="11" t="n">
        <v>7</v>
      </c>
      <c r="K37" s="11" t="n">
        <v>30132</v>
      </c>
      <c r="L37" s="11" t="s">
        <v>45</v>
      </c>
    </row>
    <row r="38" customFormat="false" ht="15" hidden="false" customHeight="false" outlineLevel="0" collapsed="false">
      <c r="A38" s="11" t="s">
        <v>145</v>
      </c>
      <c r="B38" s="11" t="s">
        <v>146</v>
      </c>
      <c r="C38" s="11" t="s">
        <v>48</v>
      </c>
      <c r="D38" s="11" t="s">
        <v>77</v>
      </c>
      <c r="E38" s="11" t="s">
        <v>11</v>
      </c>
      <c r="F38" s="11" t="s">
        <v>18</v>
      </c>
      <c r="G38" s="11" t="s">
        <v>60</v>
      </c>
      <c r="H38" s="11" t="n">
        <v>30</v>
      </c>
      <c r="I38" s="11" t="n">
        <v>280</v>
      </c>
      <c r="J38" s="11" t="n">
        <v>2</v>
      </c>
      <c r="K38" s="11" t="n">
        <v>8232</v>
      </c>
      <c r="L38" s="11" t="s">
        <v>45</v>
      </c>
    </row>
    <row r="39" customFormat="false" ht="15" hidden="false" customHeight="false" outlineLevel="0" collapsed="false">
      <c r="A39" s="11" t="s">
        <v>147</v>
      </c>
      <c r="B39" s="11" t="s">
        <v>148</v>
      </c>
      <c r="C39" s="11" t="s">
        <v>72</v>
      </c>
      <c r="D39" s="11" t="s">
        <v>149</v>
      </c>
      <c r="E39" s="11" t="s">
        <v>12</v>
      </c>
      <c r="F39" s="11" t="s">
        <v>17</v>
      </c>
      <c r="G39" s="11" t="s">
        <v>74</v>
      </c>
      <c r="H39" s="11" t="n">
        <v>183</v>
      </c>
      <c r="I39" s="11" t="n">
        <v>140</v>
      </c>
      <c r="J39" s="11" t="n">
        <v>10</v>
      </c>
      <c r="K39" s="11" t="n">
        <v>23058</v>
      </c>
      <c r="L39" s="11" t="s">
        <v>45</v>
      </c>
    </row>
    <row r="40" customFormat="false" ht="15" hidden="false" customHeight="false" outlineLevel="0" collapsed="false">
      <c r="A40" s="11" t="s">
        <v>150</v>
      </c>
      <c r="B40" s="11" t="s">
        <v>151</v>
      </c>
      <c r="C40" s="11" t="s">
        <v>65</v>
      </c>
      <c r="D40" s="11" t="s">
        <v>152</v>
      </c>
      <c r="E40" s="11" t="s">
        <v>14</v>
      </c>
      <c r="F40" s="11" t="s">
        <v>18</v>
      </c>
      <c r="G40" s="11" t="s">
        <v>74</v>
      </c>
      <c r="H40" s="11" t="n">
        <v>117</v>
      </c>
      <c r="I40" s="11" t="n">
        <v>650</v>
      </c>
      <c r="J40" s="11" t="n">
        <v>10</v>
      </c>
      <c r="K40" s="11" t="n">
        <v>68445</v>
      </c>
      <c r="L40" s="11" t="s">
        <v>121</v>
      </c>
    </row>
    <row r="41" customFormat="false" ht="15" hidden="false" customHeight="false" outlineLevel="0" collapsed="false">
      <c r="A41" s="11" t="s">
        <v>153</v>
      </c>
      <c r="B41" s="11" t="s">
        <v>151</v>
      </c>
      <c r="C41" s="11" t="s">
        <v>72</v>
      </c>
      <c r="D41" s="11" t="s">
        <v>123</v>
      </c>
      <c r="E41" s="11" t="s">
        <v>11</v>
      </c>
      <c r="F41" s="11" t="s">
        <v>21</v>
      </c>
      <c r="G41" s="11" t="s">
        <v>74</v>
      </c>
      <c r="H41" s="11" t="n">
        <v>129</v>
      </c>
      <c r="I41" s="11" t="n">
        <v>75</v>
      </c>
      <c r="J41" s="11" t="n">
        <v>0</v>
      </c>
      <c r="K41" s="11" t="n">
        <v>9675</v>
      </c>
      <c r="L41" s="11" t="s">
        <v>45</v>
      </c>
    </row>
    <row r="42" customFormat="false" ht="15" hidden="false" customHeight="false" outlineLevel="0" collapsed="false">
      <c r="A42" s="11" t="s">
        <v>154</v>
      </c>
      <c r="B42" s="11" t="s">
        <v>155</v>
      </c>
      <c r="C42" s="11" t="s">
        <v>80</v>
      </c>
      <c r="D42" s="11" t="s">
        <v>156</v>
      </c>
      <c r="E42" s="11" t="s">
        <v>12</v>
      </c>
      <c r="F42" s="11" t="s">
        <v>20</v>
      </c>
      <c r="G42" s="11" t="s">
        <v>85</v>
      </c>
      <c r="H42" s="11" t="n">
        <v>26</v>
      </c>
      <c r="I42" s="11" t="n">
        <v>20</v>
      </c>
      <c r="J42" s="11" t="n">
        <v>7</v>
      </c>
      <c r="K42" s="11" t="n">
        <v>484</v>
      </c>
      <c r="L42" s="11" t="s">
        <v>45</v>
      </c>
    </row>
    <row r="43" customFormat="false" ht="15" hidden="false" customHeight="false" outlineLevel="0" collapsed="false">
      <c r="A43" s="11" t="s">
        <v>157</v>
      </c>
      <c r="B43" s="11" t="s">
        <v>158</v>
      </c>
      <c r="C43" s="11" t="s">
        <v>48</v>
      </c>
      <c r="D43" s="11" t="s">
        <v>120</v>
      </c>
      <c r="E43" s="11" t="s">
        <v>11</v>
      </c>
      <c r="F43" s="11" t="s">
        <v>21</v>
      </c>
      <c r="G43" s="11" t="s">
        <v>85</v>
      </c>
      <c r="H43" s="11" t="n">
        <v>77</v>
      </c>
      <c r="I43" s="11" t="n">
        <v>400</v>
      </c>
      <c r="J43" s="11" t="n">
        <v>2</v>
      </c>
      <c r="K43" s="11" t="n">
        <v>30184</v>
      </c>
      <c r="L43" s="11" t="s">
        <v>45</v>
      </c>
    </row>
    <row r="44" customFormat="false" ht="15" hidden="false" customHeight="false" outlineLevel="0" collapsed="false">
      <c r="A44" s="11" t="s">
        <v>159</v>
      </c>
      <c r="B44" s="11" t="s">
        <v>160</v>
      </c>
      <c r="C44" s="11" t="s">
        <v>48</v>
      </c>
      <c r="D44" s="11" t="s">
        <v>77</v>
      </c>
      <c r="E44" s="11" t="s">
        <v>11</v>
      </c>
      <c r="F44" s="11" t="s">
        <v>18</v>
      </c>
      <c r="G44" s="11" t="s">
        <v>74</v>
      </c>
      <c r="H44" s="11" t="n">
        <v>142</v>
      </c>
      <c r="I44" s="11" t="n">
        <v>280</v>
      </c>
      <c r="J44" s="11" t="n">
        <v>7</v>
      </c>
      <c r="K44" s="11" t="n">
        <v>36977</v>
      </c>
      <c r="L44" s="11" t="s">
        <v>45</v>
      </c>
    </row>
    <row r="45" customFormat="false" ht="15" hidden="false" customHeight="false" outlineLevel="0" collapsed="false">
      <c r="A45" s="11" t="s">
        <v>161</v>
      </c>
      <c r="B45" s="11" t="s">
        <v>160</v>
      </c>
      <c r="C45" s="11" t="s">
        <v>65</v>
      </c>
      <c r="D45" s="11" t="s">
        <v>66</v>
      </c>
      <c r="E45" s="11" t="s">
        <v>14</v>
      </c>
      <c r="F45" s="11" t="s">
        <v>19</v>
      </c>
      <c r="G45" s="11" t="s">
        <v>85</v>
      </c>
      <c r="H45" s="11" t="n">
        <v>107</v>
      </c>
      <c r="I45" s="11" t="n">
        <v>450</v>
      </c>
      <c r="J45" s="11" t="n">
        <v>0</v>
      </c>
      <c r="K45" s="11" t="n">
        <v>48150</v>
      </c>
      <c r="L45" s="11" t="s">
        <v>121</v>
      </c>
    </row>
    <row r="46" customFormat="false" ht="15" hidden="false" customHeight="false" outlineLevel="0" collapsed="false">
      <c r="A46" s="11" t="s">
        <v>162</v>
      </c>
      <c r="B46" s="11" t="s">
        <v>163</v>
      </c>
      <c r="C46" s="11" t="s">
        <v>72</v>
      </c>
      <c r="D46" s="11" t="s">
        <v>126</v>
      </c>
      <c r="E46" s="11" t="s">
        <v>11</v>
      </c>
      <c r="F46" s="11" t="s">
        <v>19</v>
      </c>
      <c r="G46" s="11" t="s">
        <v>60</v>
      </c>
      <c r="H46" s="11" t="n">
        <v>73</v>
      </c>
      <c r="I46" s="11" t="n">
        <v>120</v>
      </c>
      <c r="J46" s="11" t="n">
        <v>10</v>
      </c>
      <c r="K46" s="11" t="n">
        <v>7884</v>
      </c>
      <c r="L46" s="11" t="s">
        <v>45</v>
      </c>
    </row>
    <row r="47" customFormat="false" ht="15" hidden="false" customHeight="false" outlineLevel="0" collapsed="false">
      <c r="A47" s="11" t="s">
        <v>164</v>
      </c>
      <c r="B47" s="11" t="s">
        <v>163</v>
      </c>
      <c r="C47" s="11" t="s">
        <v>72</v>
      </c>
      <c r="D47" s="11" t="s">
        <v>165</v>
      </c>
      <c r="E47" s="11" t="s">
        <v>11</v>
      </c>
      <c r="F47" s="11" t="s">
        <v>18</v>
      </c>
      <c r="G47" s="11" t="s">
        <v>50</v>
      </c>
      <c r="H47" s="11" t="n">
        <v>73</v>
      </c>
      <c r="I47" s="11" t="n">
        <v>90</v>
      </c>
      <c r="J47" s="11" t="n">
        <v>2</v>
      </c>
      <c r="K47" s="11" t="n">
        <v>6439</v>
      </c>
      <c r="L47" s="11" t="s">
        <v>45</v>
      </c>
    </row>
    <row r="48" customFormat="false" ht="15" hidden="false" customHeight="false" outlineLevel="0" collapsed="false">
      <c r="A48" s="11" t="s">
        <v>166</v>
      </c>
      <c r="B48" s="11" t="s">
        <v>167</v>
      </c>
      <c r="C48" s="11" t="s">
        <v>48</v>
      </c>
      <c r="D48" s="11" t="s">
        <v>117</v>
      </c>
      <c r="E48" s="11" t="s">
        <v>12</v>
      </c>
      <c r="F48" s="11" t="s">
        <v>20</v>
      </c>
      <c r="G48" s="11" t="s">
        <v>74</v>
      </c>
      <c r="H48" s="11" t="n">
        <v>160</v>
      </c>
      <c r="I48" s="11" t="n">
        <v>150</v>
      </c>
      <c r="J48" s="11" t="n">
        <v>5</v>
      </c>
      <c r="K48" s="11" t="n">
        <v>22800</v>
      </c>
      <c r="L48" s="11" t="s">
        <v>45</v>
      </c>
    </row>
    <row r="49" customFormat="false" ht="15" hidden="false" customHeight="false" outlineLevel="0" collapsed="false">
      <c r="A49" s="11" t="s">
        <v>168</v>
      </c>
      <c r="B49" s="11" t="s">
        <v>169</v>
      </c>
      <c r="C49" s="11" t="s">
        <v>48</v>
      </c>
      <c r="D49" s="11" t="s">
        <v>77</v>
      </c>
      <c r="E49" s="11" t="s">
        <v>11</v>
      </c>
      <c r="F49" s="11" t="s">
        <v>19</v>
      </c>
      <c r="G49" s="11" t="s">
        <v>44</v>
      </c>
      <c r="H49" s="11" t="n">
        <v>169</v>
      </c>
      <c r="I49" s="11" t="n">
        <v>280</v>
      </c>
      <c r="J49" s="11" t="n">
        <v>5</v>
      </c>
      <c r="K49" s="11" t="n">
        <v>44954</v>
      </c>
      <c r="L49" s="11" t="s">
        <v>121</v>
      </c>
    </row>
    <row r="50" customFormat="false" ht="15" hidden="false" customHeight="false" outlineLevel="0" collapsed="false">
      <c r="A50" s="11" t="s">
        <v>170</v>
      </c>
      <c r="B50" s="11" t="s">
        <v>171</v>
      </c>
      <c r="C50" s="11" t="s">
        <v>72</v>
      </c>
      <c r="D50" s="11" t="s">
        <v>149</v>
      </c>
      <c r="E50" s="11" t="s">
        <v>12</v>
      </c>
      <c r="F50" s="11" t="s">
        <v>20</v>
      </c>
      <c r="G50" s="11" t="s">
        <v>74</v>
      </c>
      <c r="H50" s="11" t="n">
        <v>10</v>
      </c>
      <c r="I50" s="11" t="n">
        <v>140</v>
      </c>
      <c r="J50" s="11" t="n">
        <v>5</v>
      </c>
      <c r="K50" s="11" t="n">
        <v>1330</v>
      </c>
      <c r="L50" s="11" t="s">
        <v>45</v>
      </c>
    </row>
    <row r="51" customFormat="false" ht="15" hidden="false" customHeight="false" outlineLevel="0" collapsed="false">
      <c r="A51" s="11" t="s">
        <v>172</v>
      </c>
      <c r="B51" s="11" t="s">
        <v>173</v>
      </c>
      <c r="C51" s="11" t="s">
        <v>65</v>
      </c>
      <c r="D51" s="11" t="s">
        <v>174</v>
      </c>
      <c r="E51" s="11" t="s">
        <v>14</v>
      </c>
      <c r="F51" s="11" t="s">
        <v>20</v>
      </c>
      <c r="G51" s="11" t="s">
        <v>60</v>
      </c>
      <c r="H51" s="11" t="n">
        <v>131</v>
      </c>
      <c r="I51" s="11" t="n">
        <v>500</v>
      </c>
      <c r="J51" s="11" t="n">
        <v>2</v>
      </c>
      <c r="K51" s="11" t="n">
        <v>64190</v>
      </c>
      <c r="L51" s="11" t="s">
        <v>121</v>
      </c>
    </row>
    <row r="52" customFormat="false" ht="15" hidden="false" customHeight="false" outlineLevel="0" collapsed="false">
      <c r="A52" s="11" t="s">
        <v>175</v>
      </c>
      <c r="B52" s="11" t="s">
        <v>176</v>
      </c>
      <c r="C52" s="11" t="s">
        <v>48</v>
      </c>
      <c r="D52" s="11" t="s">
        <v>117</v>
      </c>
      <c r="E52" s="11" t="s">
        <v>12</v>
      </c>
      <c r="F52" s="11" t="s">
        <v>20</v>
      </c>
      <c r="G52" s="11" t="s">
        <v>74</v>
      </c>
      <c r="H52" s="11" t="n">
        <v>56</v>
      </c>
      <c r="I52" s="11" t="n">
        <v>150</v>
      </c>
      <c r="J52" s="11" t="n">
        <v>5</v>
      </c>
      <c r="K52" s="11" t="n">
        <v>7980</v>
      </c>
      <c r="L52" s="11" t="s">
        <v>45</v>
      </c>
    </row>
    <row r="53" customFormat="false" ht="15" hidden="false" customHeight="false" outlineLevel="0" collapsed="false">
      <c r="A53" s="11" t="s">
        <v>177</v>
      </c>
      <c r="B53" s="11" t="s">
        <v>178</v>
      </c>
      <c r="C53" s="11" t="s">
        <v>80</v>
      </c>
      <c r="D53" s="11" t="s">
        <v>91</v>
      </c>
      <c r="E53" s="11" t="s">
        <v>11</v>
      </c>
      <c r="F53" s="11" t="s">
        <v>18</v>
      </c>
      <c r="G53" s="11" t="s">
        <v>85</v>
      </c>
      <c r="H53" s="11" t="n">
        <v>173</v>
      </c>
      <c r="I53" s="11" t="n">
        <v>180</v>
      </c>
      <c r="J53" s="11" t="n">
        <v>5</v>
      </c>
      <c r="K53" s="11" t="n">
        <v>29583</v>
      </c>
      <c r="L53" s="11" t="s">
        <v>45</v>
      </c>
    </row>
    <row r="54" customFormat="false" ht="15" hidden="false" customHeight="false" outlineLevel="0" collapsed="false">
      <c r="A54" s="11" t="s">
        <v>179</v>
      </c>
      <c r="B54" s="11" t="s">
        <v>180</v>
      </c>
      <c r="C54" s="11" t="s">
        <v>48</v>
      </c>
      <c r="D54" s="11" t="s">
        <v>49</v>
      </c>
      <c r="E54" s="11" t="s">
        <v>14</v>
      </c>
      <c r="F54" s="11" t="s">
        <v>20</v>
      </c>
      <c r="G54" s="11" t="s">
        <v>74</v>
      </c>
      <c r="H54" s="11" t="n">
        <v>180</v>
      </c>
      <c r="I54" s="11" t="n">
        <v>220</v>
      </c>
      <c r="J54" s="11" t="n">
        <v>10</v>
      </c>
      <c r="K54" s="11" t="n">
        <v>35640</v>
      </c>
      <c r="L54" s="11" t="s">
        <v>45</v>
      </c>
    </row>
    <row r="55" customFormat="false" ht="15" hidden="false" customHeight="false" outlineLevel="0" collapsed="false">
      <c r="A55" s="11" t="s">
        <v>181</v>
      </c>
      <c r="B55" s="11" t="s">
        <v>182</v>
      </c>
      <c r="C55" s="11" t="s">
        <v>80</v>
      </c>
      <c r="D55" s="11" t="s">
        <v>140</v>
      </c>
      <c r="E55" s="11" t="s">
        <v>12</v>
      </c>
      <c r="F55" s="11" t="s">
        <v>18</v>
      </c>
      <c r="G55" s="11" t="s">
        <v>50</v>
      </c>
      <c r="H55" s="11" t="n">
        <v>12</v>
      </c>
      <c r="I55" s="11" t="n">
        <v>15</v>
      </c>
      <c r="J55" s="11" t="n">
        <v>7</v>
      </c>
      <c r="K55" s="11" t="n">
        <v>167</v>
      </c>
      <c r="L55" s="11" t="s">
        <v>45</v>
      </c>
    </row>
    <row r="56" customFormat="false" ht="15" hidden="false" customHeight="false" outlineLevel="0" collapsed="false">
      <c r="A56" s="11" t="s">
        <v>183</v>
      </c>
      <c r="B56" s="11" t="s">
        <v>184</v>
      </c>
      <c r="C56" s="11" t="s">
        <v>48</v>
      </c>
      <c r="D56" s="11" t="s">
        <v>185</v>
      </c>
      <c r="E56" s="11" t="s">
        <v>11</v>
      </c>
      <c r="F56" s="11" t="s">
        <v>21</v>
      </c>
      <c r="G56" s="11" t="s">
        <v>44</v>
      </c>
      <c r="H56" s="11" t="n">
        <v>173</v>
      </c>
      <c r="I56" s="11" t="n">
        <v>350</v>
      </c>
      <c r="J56" s="11" t="n">
        <v>10</v>
      </c>
      <c r="K56" s="11" t="n">
        <v>54495</v>
      </c>
      <c r="L56" s="11" t="s">
        <v>121</v>
      </c>
    </row>
    <row r="57" customFormat="false" ht="15" hidden="false" customHeight="false" outlineLevel="0" collapsed="false">
      <c r="A57" s="11" t="s">
        <v>186</v>
      </c>
      <c r="B57" s="11" t="s">
        <v>187</v>
      </c>
      <c r="C57" s="11" t="s">
        <v>88</v>
      </c>
      <c r="D57" s="11" t="s">
        <v>94</v>
      </c>
      <c r="E57" s="11" t="s">
        <v>14</v>
      </c>
      <c r="F57" s="11" t="s">
        <v>19</v>
      </c>
      <c r="G57" s="11" t="s">
        <v>60</v>
      </c>
      <c r="H57" s="11" t="n">
        <v>23</v>
      </c>
      <c r="I57" s="11" t="n">
        <v>40</v>
      </c>
      <c r="J57" s="11" t="n">
        <v>5</v>
      </c>
      <c r="K57" s="11" t="n">
        <v>874</v>
      </c>
      <c r="L57" s="11" t="s">
        <v>45</v>
      </c>
    </row>
    <row r="58" customFormat="false" ht="15" hidden="false" customHeight="false" outlineLevel="0" collapsed="false">
      <c r="A58" s="11" t="s">
        <v>188</v>
      </c>
      <c r="B58" s="11" t="s">
        <v>189</v>
      </c>
      <c r="C58" s="11" t="s">
        <v>48</v>
      </c>
      <c r="D58" s="11" t="s">
        <v>120</v>
      </c>
      <c r="E58" s="11" t="s">
        <v>11</v>
      </c>
      <c r="F58" s="11" t="s">
        <v>21</v>
      </c>
      <c r="G58" s="11" t="s">
        <v>85</v>
      </c>
      <c r="H58" s="11" t="n">
        <v>47</v>
      </c>
      <c r="I58" s="11" t="n">
        <v>400</v>
      </c>
      <c r="J58" s="11" t="n">
        <v>0</v>
      </c>
      <c r="K58" s="11" t="n">
        <v>18800</v>
      </c>
      <c r="L58" s="11" t="s">
        <v>45</v>
      </c>
    </row>
    <row r="59" customFormat="false" ht="15" hidden="false" customHeight="false" outlineLevel="0" collapsed="false">
      <c r="A59" s="11" t="s">
        <v>190</v>
      </c>
      <c r="B59" s="11" t="s">
        <v>191</v>
      </c>
      <c r="C59" s="11" t="s">
        <v>72</v>
      </c>
      <c r="D59" s="11" t="s">
        <v>149</v>
      </c>
      <c r="E59" s="11" t="s">
        <v>12</v>
      </c>
      <c r="F59" s="11" t="s">
        <v>18</v>
      </c>
      <c r="G59" s="11" t="s">
        <v>74</v>
      </c>
      <c r="H59" s="11" t="n">
        <v>93</v>
      </c>
      <c r="I59" s="11" t="n">
        <v>140</v>
      </c>
      <c r="J59" s="11" t="n">
        <v>7</v>
      </c>
      <c r="K59" s="11" t="n">
        <v>12109</v>
      </c>
      <c r="L59" s="11" t="s">
        <v>45</v>
      </c>
    </row>
    <row r="60" customFormat="false" ht="15" hidden="false" customHeight="false" outlineLevel="0" collapsed="false">
      <c r="A60" s="11" t="s">
        <v>192</v>
      </c>
      <c r="B60" s="11" t="s">
        <v>191</v>
      </c>
      <c r="C60" s="11" t="s">
        <v>48</v>
      </c>
      <c r="D60" s="11" t="s">
        <v>77</v>
      </c>
      <c r="E60" s="11" t="s">
        <v>11</v>
      </c>
      <c r="F60" s="11" t="s">
        <v>21</v>
      </c>
      <c r="G60" s="11" t="s">
        <v>44</v>
      </c>
      <c r="H60" s="11" t="n">
        <v>23</v>
      </c>
      <c r="I60" s="11" t="n">
        <v>280</v>
      </c>
      <c r="J60" s="11" t="n">
        <v>0</v>
      </c>
      <c r="K60" s="11" t="n">
        <v>6440</v>
      </c>
      <c r="L60" s="11" t="s">
        <v>45</v>
      </c>
    </row>
    <row r="61" customFormat="false" ht="15" hidden="false" customHeight="false" outlineLevel="0" collapsed="false">
      <c r="A61" s="11" t="s">
        <v>193</v>
      </c>
      <c r="B61" s="11" t="s">
        <v>194</v>
      </c>
      <c r="C61" s="11" t="s">
        <v>53</v>
      </c>
      <c r="D61" s="11" t="s">
        <v>195</v>
      </c>
      <c r="E61" s="11" t="s">
        <v>11</v>
      </c>
      <c r="F61" s="11" t="s">
        <v>19</v>
      </c>
      <c r="G61" s="11" t="s">
        <v>74</v>
      </c>
      <c r="H61" s="11" t="n">
        <v>157</v>
      </c>
      <c r="I61" s="11" t="n">
        <v>65</v>
      </c>
      <c r="J61" s="11" t="n">
        <v>2</v>
      </c>
      <c r="K61" s="11" t="n">
        <v>10001</v>
      </c>
      <c r="L61" s="11" t="s">
        <v>45</v>
      </c>
    </row>
    <row r="62" customFormat="false" ht="15" hidden="false" customHeight="false" outlineLevel="0" collapsed="false">
      <c r="A62" s="11" t="s">
        <v>196</v>
      </c>
      <c r="B62" s="11" t="s">
        <v>194</v>
      </c>
      <c r="C62" s="11" t="s">
        <v>80</v>
      </c>
      <c r="D62" s="11" t="s">
        <v>197</v>
      </c>
      <c r="E62" s="11" t="s">
        <v>14</v>
      </c>
      <c r="F62" s="11" t="s">
        <v>19</v>
      </c>
      <c r="G62" s="11" t="s">
        <v>85</v>
      </c>
      <c r="H62" s="11" t="n">
        <v>27</v>
      </c>
      <c r="I62" s="11" t="n">
        <v>30</v>
      </c>
      <c r="J62" s="11" t="n">
        <v>10</v>
      </c>
      <c r="K62" s="11" t="n">
        <v>729</v>
      </c>
      <c r="L62" s="11" t="s">
        <v>45</v>
      </c>
    </row>
    <row r="63" customFormat="false" ht="15" hidden="false" customHeight="false" outlineLevel="0" collapsed="false">
      <c r="A63" s="11" t="s">
        <v>198</v>
      </c>
      <c r="B63" s="11" t="s">
        <v>199</v>
      </c>
      <c r="C63" s="11" t="s">
        <v>72</v>
      </c>
      <c r="D63" s="11" t="s">
        <v>149</v>
      </c>
      <c r="E63" s="11" t="s">
        <v>12</v>
      </c>
      <c r="F63" s="11" t="s">
        <v>17</v>
      </c>
      <c r="G63" s="11" t="s">
        <v>44</v>
      </c>
      <c r="H63" s="11" t="n">
        <v>33</v>
      </c>
      <c r="I63" s="11" t="n">
        <v>140</v>
      </c>
      <c r="J63" s="11" t="n">
        <v>2</v>
      </c>
      <c r="K63" s="11" t="n">
        <v>4528</v>
      </c>
      <c r="L63" s="11" t="s">
        <v>45</v>
      </c>
    </row>
    <row r="64" customFormat="false" ht="15" hidden="false" customHeight="false" outlineLevel="0" collapsed="false">
      <c r="A64" s="11" t="s">
        <v>200</v>
      </c>
      <c r="B64" s="11" t="s">
        <v>201</v>
      </c>
      <c r="C64" s="11" t="s">
        <v>80</v>
      </c>
      <c r="D64" s="11" t="s">
        <v>140</v>
      </c>
      <c r="E64" s="11" t="s">
        <v>12</v>
      </c>
      <c r="F64" s="11" t="s">
        <v>17</v>
      </c>
      <c r="G64" s="11" t="s">
        <v>74</v>
      </c>
      <c r="H64" s="11" t="n">
        <v>64</v>
      </c>
      <c r="I64" s="11" t="n">
        <v>15</v>
      </c>
      <c r="J64" s="11" t="n">
        <v>10</v>
      </c>
      <c r="K64" s="11" t="n">
        <v>864</v>
      </c>
      <c r="L64" s="11" t="s">
        <v>45</v>
      </c>
    </row>
    <row r="65" customFormat="false" ht="15" hidden="false" customHeight="false" outlineLevel="0" collapsed="false">
      <c r="A65" s="11" t="s">
        <v>202</v>
      </c>
      <c r="B65" s="11" t="s">
        <v>203</v>
      </c>
      <c r="C65" s="11" t="s">
        <v>72</v>
      </c>
      <c r="D65" s="11" t="s">
        <v>165</v>
      </c>
      <c r="E65" s="11" t="s">
        <v>11</v>
      </c>
      <c r="F65" s="11" t="s">
        <v>20</v>
      </c>
      <c r="G65" s="11" t="s">
        <v>60</v>
      </c>
      <c r="H65" s="11" t="n">
        <v>77</v>
      </c>
      <c r="I65" s="11" t="n">
        <v>90</v>
      </c>
      <c r="J65" s="11" t="n">
        <v>2</v>
      </c>
      <c r="K65" s="11" t="n">
        <v>6791</v>
      </c>
      <c r="L65" s="11" t="s">
        <v>45</v>
      </c>
    </row>
    <row r="66" customFormat="false" ht="15" hidden="false" customHeight="false" outlineLevel="0" collapsed="false">
      <c r="A66" s="11" t="s">
        <v>204</v>
      </c>
      <c r="B66" s="11" t="s">
        <v>203</v>
      </c>
      <c r="C66" s="11" t="s">
        <v>48</v>
      </c>
      <c r="D66" s="11" t="s">
        <v>117</v>
      </c>
      <c r="E66" s="11" t="s">
        <v>12</v>
      </c>
      <c r="F66" s="11" t="s">
        <v>18</v>
      </c>
      <c r="G66" s="11" t="s">
        <v>60</v>
      </c>
      <c r="H66" s="11" t="n">
        <v>119</v>
      </c>
      <c r="I66" s="11" t="n">
        <v>150</v>
      </c>
      <c r="J66" s="11" t="n">
        <v>10</v>
      </c>
      <c r="K66" s="11" t="n">
        <v>16065</v>
      </c>
      <c r="L66" s="11" t="s">
        <v>45</v>
      </c>
    </row>
    <row r="67" customFormat="false" ht="15" hidden="false" customHeight="false" outlineLevel="0" collapsed="false">
      <c r="A67" s="11" t="s">
        <v>205</v>
      </c>
      <c r="B67" s="11" t="s">
        <v>206</v>
      </c>
      <c r="C67" s="11" t="s">
        <v>53</v>
      </c>
      <c r="D67" s="11" t="s">
        <v>54</v>
      </c>
      <c r="E67" s="11" t="s">
        <v>12</v>
      </c>
      <c r="F67" s="11" t="s">
        <v>21</v>
      </c>
      <c r="G67" s="11" t="s">
        <v>74</v>
      </c>
      <c r="H67" s="11" t="n">
        <v>25</v>
      </c>
      <c r="I67" s="11" t="n">
        <v>20</v>
      </c>
      <c r="J67" s="11" t="n">
        <v>2</v>
      </c>
      <c r="K67" s="11" t="n">
        <v>490</v>
      </c>
      <c r="L67" s="11" t="s">
        <v>45</v>
      </c>
    </row>
    <row r="68" customFormat="false" ht="15" hidden="false" customHeight="false" outlineLevel="0" collapsed="false">
      <c r="A68" s="11" t="s">
        <v>207</v>
      </c>
      <c r="B68" s="11" t="s">
        <v>208</v>
      </c>
      <c r="C68" s="11" t="s">
        <v>72</v>
      </c>
      <c r="D68" s="11" t="s">
        <v>126</v>
      </c>
      <c r="E68" s="11" t="s">
        <v>11</v>
      </c>
      <c r="F68" s="11" t="s">
        <v>19</v>
      </c>
      <c r="G68" s="11" t="s">
        <v>44</v>
      </c>
      <c r="H68" s="11" t="n">
        <v>159</v>
      </c>
      <c r="I68" s="11" t="n">
        <v>120</v>
      </c>
      <c r="J68" s="11" t="n">
        <v>10</v>
      </c>
      <c r="K68" s="11" t="n">
        <v>17172</v>
      </c>
      <c r="L68" s="11" t="s">
        <v>45</v>
      </c>
    </row>
    <row r="69" customFormat="false" ht="15" hidden="false" customHeight="false" outlineLevel="0" collapsed="false">
      <c r="A69" s="11" t="s">
        <v>209</v>
      </c>
      <c r="B69" s="11" t="s">
        <v>210</v>
      </c>
      <c r="C69" s="11" t="s">
        <v>53</v>
      </c>
      <c r="D69" s="11" t="s">
        <v>101</v>
      </c>
      <c r="E69" s="11" t="s">
        <v>14</v>
      </c>
      <c r="F69" s="11" t="s">
        <v>18</v>
      </c>
      <c r="G69" s="11" t="s">
        <v>60</v>
      </c>
      <c r="H69" s="11" t="n">
        <v>102</v>
      </c>
      <c r="I69" s="11" t="n">
        <v>45</v>
      </c>
      <c r="J69" s="11" t="n">
        <v>10</v>
      </c>
      <c r="K69" s="11" t="n">
        <v>4131</v>
      </c>
      <c r="L69" s="11" t="s">
        <v>45</v>
      </c>
    </row>
    <row r="70" customFormat="false" ht="15" hidden="false" customHeight="false" outlineLevel="0" collapsed="false">
      <c r="A70" s="11" t="s">
        <v>211</v>
      </c>
      <c r="B70" s="11" t="s">
        <v>210</v>
      </c>
      <c r="C70" s="11" t="s">
        <v>80</v>
      </c>
      <c r="D70" s="11" t="s">
        <v>91</v>
      </c>
      <c r="E70" s="11" t="s">
        <v>11</v>
      </c>
      <c r="F70" s="11" t="s">
        <v>21</v>
      </c>
      <c r="G70" s="11" t="s">
        <v>60</v>
      </c>
      <c r="H70" s="11" t="n">
        <v>12</v>
      </c>
      <c r="I70" s="11" t="n">
        <v>180</v>
      </c>
      <c r="J70" s="11" t="n">
        <v>0</v>
      </c>
      <c r="K70" s="11" t="n">
        <v>2160</v>
      </c>
      <c r="L70" s="11" t="s">
        <v>45</v>
      </c>
    </row>
    <row r="71" customFormat="false" ht="15" hidden="false" customHeight="false" outlineLevel="0" collapsed="false">
      <c r="A71" s="11" t="s">
        <v>212</v>
      </c>
      <c r="B71" s="11" t="s">
        <v>213</v>
      </c>
      <c r="C71" s="11" t="s">
        <v>58</v>
      </c>
      <c r="D71" s="11" t="s">
        <v>214</v>
      </c>
      <c r="E71" s="11" t="s">
        <v>13</v>
      </c>
      <c r="F71" s="11" t="s">
        <v>19</v>
      </c>
      <c r="G71" s="11" t="s">
        <v>50</v>
      </c>
      <c r="H71" s="11" t="n">
        <v>197</v>
      </c>
      <c r="I71" s="11" t="n">
        <v>110</v>
      </c>
      <c r="J71" s="11" t="n">
        <v>7</v>
      </c>
      <c r="K71" s="11" t="n">
        <v>20153</v>
      </c>
      <c r="L71" s="11" t="s">
        <v>45</v>
      </c>
    </row>
    <row r="72" customFormat="false" ht="15" hidden="false" customHeight="false" outlineLevel="0" collapsed="false">
      <c r="A72" s="11" t="s">
        <v>215</v>
      </c>
      <c r="B72" s="11" t="s">
        <v>213</v>
      </c>
      <c r="C72" s="11" t="s">
        <v>80</v>
      </c>
      <c r="D72" s="11" t="s">
        <v>81</v>
      </c>
      <c r="E72" s="11" t="s">
        <v>11</v>
      </c>
      <c r="F72" s="11" t="s">
        <v>18</v>
      </c>
      <c r="G72" s="11" t="s">
        <v>74</v>
      </c>
      <c r="H72" s="11" t="n">
        <v>150</v>
      </c>
      <c r="I72" s="11" t="n">
        <v>70</v>
      </c>
      <c r="J72" s="11" t="n">
        <v>0</v>
      </c>
      <c r="K72" s="11" t="n">
        <v>10500</v>
      </c>
      <c r="L72" s="11" t="s">
        <v>45</v>
      </c>
    </row>
    <row r="73" customFormat="false" ht="15" hidden="false" customHeight="false" outlineLevel="0" collapsed="false">
      <c r="A73" s="11" t="s">
        <v>216</v>
      </c>
      <c r="B73" s="11" t="s">
        <v>217</v>
      </c>
      <c r="C73" s="11" t="s">
        <v>58</v>
      </c>
      <c r="D73" s="11" t="s">
        <v>218</v>
      </c>
      <c r="E73" s="11" t="s">
        <v>13</v>
      </c>
      <c r="F73" s="11" t="s">
        <v>17</v>
      </c>
      <c r="G73" s="11" t="s">
        <v>50</v>
      </c>
      <c r="H73" s="11" t="n">
        <v>31</v>
      </c>
      <c r="I73" s="11" t="n">
        <v>150</v>
      </c>
      <c r="J73" s="11" t="n">
        <v>7</v>
      </c>
      <c r="K73" s="11" t="n">
        <v>4324</v>
      </c>
      <c r="L73" s="11" t="s">
        <v>45</v>
      </c>
    </row>
    <row r="74" customFormat="false" ht="15" hidden="false" customHeight="false" outlineLevel="0" collapsed="false">
      <c r="A74" s="11" t="s">
        <v>219</v>
      </c>
      <c r="B74" s="11" t="s">
        <v>220</v>
      </c>
      <c r="C74" s="11" t="s">
        <v>53</v>
      </c>
      <c r="D74" s="11" t="s">
        <v>221</v>
      </c>
      <c r="E74" s="11" t="s">
        <v>11</v>
      </c>
      <c r="F74" s="11" t="s">
        <v>21</v>
      </c>
      <c r="G74" s="11" t="s">
        <v>60</v>
      </c>
      <c r="H74" s="11" t="n">
        <v>74</v>
      </c>
      <c r="I74" s="11" t="n">
        <v>85</v>
      </c>
      <c r="J74" s="11" t="n">
        <v>10</v>
      </c>
      <c r="K74" s="11" t="n">
        <v>5661</v>
      </c>
      <c r="L74" s="11" t="s">
        <v>45</v>
      </c>
    </row>
    <row r="75" customFormat="false" ht="15" hidden="false" customHeight="false" outlineLevel="0" collapsed="false">
      <c r="A75" s="11" t="s">
        <v>222</v>
      </c>
      <c r="B75" s="11" t="s">
        <v>220</v>
      </c>
      <c r="C75" s="11" t="s">
        <v>58</v>
      </c>
      <c r="D75" s="11" t="s">
        <v>98</v>
      </c>
      <c r="E75" s="11" t="s">
        <v>13</v>
      </c>
      <c r="F75" s="11" t="s">
        <v>21</v>
      </c>
      <c r="G75" s="11" t="s">
        <v>44</v>
      </c>
      <c r="H75" s="11" t="n">
        <v>196</v>
      </c>
      <c r="I75" s="11" t="n">
        <v>60</v>
      </c>
      <c r="J75" s="11" t="n">
        <v>5</v>
      </c>
      <c r="K75" s="11" t="n">
        <v>11172</v>
      </c>
      <c r="L75" s="11" t="s">
        <v>45</v>
      </c>
    </row>
    <row r="76" customFormat="false" ht="15" hidden="false" customHeight="false" outlineLevel="0" collapsed="false">
      <c r="A76" s="11" t="s">
        <v>223</v>
      </c>
      <c r="B76" s="11" t="s">
        <v>224</v>
      </c>
      <c r="C76" s="11" t="s">
        <v>42</v>
      </c>
      <c r="D76" s="11" t="s">
        <v>43</v>
      </c>
      <c r="E76" s="11" t="s">
        <v>11</v>
      </c>
      <c r="F76" s="11" t="s">
        <v>17</v>
      </c>
      <c r="G76" s="11" t="s">
        <v>74</v>
      </c>
      <c r="H76" s="11" t="n">
        <v>150</v>
      </c>
      <c r="I76" s="11" t="n">
        <v>95</v>
      </c>
      <c r="J76" s="11" t="n">
        <v>7</v>
      </c>
      <c r="K76" s="11" t="n">
        <v>13252</v>
      </c>
      <c r="L76" s="11" t="s">
        <v>45</v>
      </c>
    </row>
    <row r="77" customFormat="false" ht="15" hidden="false" customHeight="false" outlineLevel="0" collapsed="false">
      <c r="A77" s="11" t="s">
        <v>225</v>
      </c>
      <c r="B77" s="11" t="s">
        <v>224</v>
      </c>
      <c r="C77" s="11" t="s">
        <v>48</v>
      </c>
      <c r="D77" s="11" t="s">
        <v>120</v>
      </c>
      <c r="E77" s="11" t="s">
        <v>11</v>
      </c>
      <c r="F77" s="11" t="s">
        <v>19</v>
      </c>
      <c r="G77" s="11" t="s">
        <v>74</v>
      </c>
      <c r="H77" s="11" t="n">
        <v>116</v>
      </c>
      <c r="I77" s="11" t="n">
        <v>400</v>
      </c>
      <c r="J77" s="11" t="n">
        <v>10</v>
      </c>
      <c r="K77" s="11" t="n">
        <v>41760</v>
      </c>
      <c r="L77" s="11" t="s">
        <v>121</v>
      </c>
    </row>
    <row r="78" customFormat="false" ht="15" hidden="false" customHeight="false" outlineLevel="0" collapsed="false">
      <c r="A78" s="11" t="s">
        <v>226</v>
      </c>
      <c r="B78" s="11" t="s">
        <v>227</v>
      </c>
      <c r="C78" s="11" t="s">
        <v>48</v>
      </c>
      <c r="D78" s="11" t="s">
        <v>49</v>
      </c>
      <c r="E78" s="11" t="s">
        <v>14</v>
      </c>
      <c r="F78" s="11" t="s">
        <v>20</v>
      </c>
      <c r="G78" s="11" t="s">
        <v>74</v>
      </c>
      <c r="H78" s="11" t="n">
        <v>94</v>
      </c>
      <c r="I78" s="11" t="n">
        <v>220</v>
      </c>
      <c r="J78" s="11" t="n">
        <v>5</v>
      </c>
      <c r="K78" s="11" t="n">
        <v>19646</v>
      </c>
      <c r="L78" s="11" t="s">
        <v>45</v>
      </c>
    </row>
    <row r="79" customFormat="false" ht="15" hidden="false" customHeight="false" outlineLevel="0" collapsed="false">
      <c r="A79" s="11" t="s">
        <v>228</v>
      </c>
      <c r="B79" s="11" t="s">
        <v>229</v>
      </c>
      <c r="C79" s="11" t="s">
        <v>53</v>
      </c>
      <c r="D79" s="11" t="s">
        <v>54</v>
      </c>
      <c r="E79" s="11" t="s">
        <v>12</v>
      </c>
      <c r="F79" s="11" t="s">
        <v>21</v>
      </c>
      <c r="G79" s="11" t="s">
        <v>85</v>
      </c>
      <c r="H79" s="11" t="n">
        <v>129</v>
      </c>
      <c r="I79" s="11" t="n">
        <v>20</v>
      </c>
      <c r="J79" s="11" t="n">
        <v>2</v>
      </c>
      <c r="K79" s="11" t="n">
        <v>2528</v>
      </c>
      <c r="L79" s="11" t="s">
        <v>45</v>
      </c>
    </row>
    <row r="80" customFormat="false" ht="15" hidden="false" customHeight="false" outlineLevel="0" collapsed="false">
      <c r="A80" s="11" t="s">
        <v>230</v>
      </c>
      <c r="B80" s="11" t="s">
        <v>229</v>
      </c>
      <c r="C80" s="11" t="s">
        <v>42</v>
      </c>
      <c r="D80" s="11" t="s">
        <v>231</v>
      </c>
      <c r="E80" s="11" t="s">
        <v>12</v>
      </c>
      <c r="F80" s="11" t="s">
        <v>18</v>
      </c>
      <c r="G80" s="11" t="s">
        <v>50</v>
      </c>
      <c r="H80" s="11" t="n">
        <v>165</v>
      </c>
      <c r="I80" s="11" t="n">
        <v>80</v>
      </c>
      <c r="J80" s="11" t="n">
        <v>2</v>
      </c>
      <c r="K80" s="11" t="n">
        <v>12936</v>
      </c>
      <c r="L80" s="11" t="s">
        <v>45</v>
      </c>
    </row>
    <row r="81" customFormat="false" ht="15" hidden="false" customHeight="false" outlineLevel="0" collapsed="false">
      <c r="A81" s="11" t="s">
        <v>232</v>
      </c>
      <c r="B81" s="11" t="s">
        <v>233</v>
      </c>
      <c r="C81" s="11" t="s">
        <v>58</v>
      </c>
      <c r="D81" s="11" t="s">
        <v>98</v>
      </c>
      <c r="E81" s="11" t="s">
        <v>13</v>
      </c>
      <c r="F81" s="11" t="s">
        <v>17</v>
      </c>
      <c r="G81" s="11" t="s">
        <v>44</v>
      </c>
      <c r="H81" s="11" t="n">
        <v>174</v>
      </c>
      <c r="I81" s="11" t="n">
        <v>60</v>
      </c>
      <c r="J81" s="11" t="n">
        <v>5</v>
      </c>
      <c r="K81" s="11" t="n">
        <v>9918</v>
      </c>
      <c r="L81" s="11" t="s">
        <v>45</v>
      </c>
    </row>
    <row r="82" customFormat="false" ht="15" hidden="false" customHeight="false" outlineLevel="0" collapsed="false">
      <c r="A82" s="11" t="s">
        <v>234</v>
      </c>
      <c r="B82" s="11" t="s">
        <v>233</v>
      </c>
      <c r="C82" s="11" t="s">
        <v>42</v>
      </c>
      <c r="D82" s="11" t="s">
        <v>231</v>
      </c>
      <c r="E82" s="11" t="s">
        <v>12</v>
      </c>
      <c r="F82" s="11" t="s">
        <v>20</v>
      </c>
      <c r="G82" s="11" t="s">
        <v>50</v>
      </c>
      <c r="H82" s="11" t="n">
        <v>100</v>
      </c>
      <c r="I82" s="11" t="n">
        <v>80</v>
      </c>
      <c r="J82" s="11" t="n">
        <v>10</v>
      </c>
      <c r="K82" s="11" t="n">
        <v>7200</v>
      </c>
      <c r="L82" s="11" t="s">
        <v>45</v>
      </c>
    </row>
    <row r="83" customFormat="false" ht="15" hidden="false" customHeight="false" outlineLevel="0" collapsed="false">
      <c r="A83" s="11" t="s">
        <v>235</v>
      </c>
      <c r="B83" s="11" t="s">
        <v>236</v>
      </c>
      <c r="C83" s="11" t="s">
        <v>72</v>
      </c>
      <c r="D83" s="11" t="s">
        <v>149</v>
      </c>
      <c r="E83" s="11" t="s">
        <v>12</v>
      </c>
      <c r="F83" s="11" t="s">
        <v>17</v>
      </c>
      <c r="G83" s="11" t="s">
        <v>50</v>
      </c>
      <c r="H83" s="11" t="n">
        <v>154</v>
      </c>
      <c r="I83" s="11" t="n">
        <v>140</v>
      </c>
      <c r="J83" s="11" t="n">
        <v>0</v>
      </c>
      <c r="K83" s="11" t="n">
        <v>21560</v>
      </c>
      <c r="L83" s="11" t="s">
        <v>45</v>
      </c>
    </row>
    <row r="84" customFormat="false" ht="15" hidden="false" customHeight="false" outlineLevel="0" collapsed="false">
      <c r="A84" s="11" t="s">
        <v>237</v>
      </c>
      <c r="B84" s="11" t="s">
        <v>238</v>
      </c>
      <c r="C84" s="11" t="s">
        <v>58</v>
      </c>
      <c r="D84" s="11" t="s">
        <v>214</v>
      </c>
      <c r="E84" s="11" t="s">
        <v>13</v>
      </c>
      <c r="F84" s="11" t="s">
        <v>21</v>
      </c>
      <c r="G84" s="11" t="s">
        <v>44</v>
      </c>
      <c r="H84" s="11" t="n">
        <v>81</v>
      </c>
      <c r="I84" s="11" t="n">
        <v>110</v>
      </c>
      <c r="J84" s="11" t="n">
        <v>2</v>
      </c>
      <c r="K84" s="11" t="n">
        <v>8732</v>
      </c>
      <c r="L84" s="11" t="s">
        <v>45</v>
      </c>
    </row>
    <row r="85" customFormat="false" ht="15" hidden="false" customHeight="false" outlineLevel="0" collapsed="false">
      <c r="A85" s="11" t="s">
        <v>239</v>
      </c>
      <c r="B85" s="11" t="s">
        <v>240</v>
      </c>
      <c r="C85" s="11" t="s">
        <v>48</v>
      </c>
      <c r="D85" s="11" t="s">
        <v>120</v>
      </c>
      <c r="E85" s="11" t="s">
        <v>11</v>
      </c>
      <c r="F85" s="11" t="s">
        <v>18</v>
      </c>
      <c r="G85" s="11" t="s">
        <v>44</v>
      </c>
      <c r="H85" s="11" t="n">
        <v>52</v>
      </c>
      <c r="I85" s="11" t="n">
        <v>400</v>
      </c>
      <c r="J85" s="11" t="n">
        <v>10</v>
      </c>
      <c r="K85" s="11" t="n">
        <v>18720</v>
      </c>
      <c r="L85" s="11" t="s">
        <v>45</v>
      </c>
    </row>
    <row r="86" customFormat="false" ht="15" hidden="false" customHeight="false" outlineLevel="0" collapsed="false">
      <c r="A86" s="11" t="s">
        <v>241</v>
      </c>
      <c r="B86" s="11" t="s">
        <v>242</v>
      </c>
      <c r="C86" s="11" t="s">
        <v>88</v>
      </c>
      <c r="D86" s="11" t="s">
        <v>94</v>
      </c>
      <c r="E86" s="11" t="s">
        <v>14</v>
      </c>
      <c r="F86" s="11" t="s">
        <v>21</v>
      </c>
      <c r="G86" s="11" t="s">
        <v>50</v>
      </c>
      <c r="H86" s="11" t="n">
        <v>143</v>
      </c>
      <c r="I86" s="11" t="n">
        <v>40</v>
      </c>
      <c r="J86" s="11" t="n">
        <v>10</v>
      </c>
      <c r="K86" s="11" t="n">
        <v>5148</v>
      </c>
      <c r="L86" s="11" t="s">
        <v>45</v>
      </c>
    </row>
    <row r="87" customFormat="false" ht="15" hidden="false" customHeight="false" outlineLevel="0" collapsed="false">
      <c r="A87" s="11" t="s">
        <v>243</v>
      </c>
      <c r="B87" s="11" t="s">
        <v>244</v>
      </c>
      <c r="C87" s="11" t="s">
        <v>53</v>
      </c>
      <c r="D87" s="11" t="s">
        <v>221</v>
      </c>
      <c r="E87" s="11" t="s">
        <v>11</v>
      </c>
      <c r="F87" s="11" t="s">
        <v>20</v>
      </c>
      <c r="G87" s="11" t="s">
        <v>50</v>
      </c>
      <c r="H87" s="11" t="n">
        <v>161</v>
      </c>
      <c r="I87" s="11" t="n">
        <v>85</v>
      </c>
      <c r="J87" s="11" t="n">
        <v>2</v>
      </c>
      <c r="K87" s="11" t="n">
        <v>13411</v>
      </c>
      <c r="L87" s="11" t="s">
        <v>45</v>
      </c>
    </row>
    <row r="88" customFormat="false" ht="15" hidden="false" customHeight="false" outlineLevel="0" collapsed="false">
      <c r="A88" s="11" t="s">
        <v>245</v>
      </c>
      <c r="B88" s="11" t="s">
        <v>246</v>
      </c>
      <c r="C88" s="11" t="s">
        <v>72</v>
      </c>
      <c r="D88" s="11" t="s">
        <v>165</v>
      </c>
      <c r="E88" s="11" t="s">
        <v>11</v>
      </c>
      <c r="F88" s="11" t="s">
        <v>18</v>
      </c>
      <c r="G88" s="11" t="s">
        <v>85</v>
      </c>
      <c r="H88" s="11" t="n">
        <v>67</v>
      </c>
      <c r="I88" s="11" t="n">
        <v>90</v>
      </c>
      <c r="J88" s="11" t="n">
        <v>2</v>
      </c>
      <c r="K88" s="11" t="n">
        <v>5909</v>
      </c>
      <c r="L88" s="11" t="s">
        <v>45</v>
      </c>
    </row>
    <row r="89" customFormat="false" ht="15" hidden="false" customHeight="false" outlineLevel="0" collapsed="false">
      <c r="A89" s="11" t="s">
        <v>247</v>
      </c>
      <c r="B89" s="11" t="s">
        <v>248</v>
      </c>
      <c r="C89" s="11" t="s">
        <v>53</v>
      </c>
      <c r="D89" s="11" t="s">
        <v>195</v>
      </c>
      <c r="E89" s="11" t="s">
        <v>11</v>
      </c>
      <c r="F89" s="11" t="s">
        <v>20</v>
      </c>
      <c r="G89" s="11" t="s">
        <v>85</v>
      </c>
      <c r="H89" s="11" t="n">
        <v>51</v>
      </c>
      <c r="I89" s="11" t="n">
        <v>65</v>
      </c>
      <c r="J89" s="11" t="n">
        <v>2</v>
      </c>
      <c r="K89" s="11" t="n">
        <v>3249</v>
      </c>
      <c r="L89" s="11" t="s">
        <v>45</v>
      </c>
    </row>
    <row r="90" customFormat="false" ht="15" hidden="false" customHeight="false" outlineLevel="0" collapsed="false">
      <c r="A90" s="11" t="s">
        <v>249</v>
      </c>
      <c r="B90" s="11" t="s">
        <v>250</v>
      </c>
      <c r="C90" s="11" t="s">
        <v>58</v>
      </c>
      <c r="D90" s="11" t="s">
        <v>98</v>
      </c>
      <c r="E90" s="11" t="s">
        <v>13</v>
      </c>
      <c r="F90" s="11" t="s">
        <v>20</v>
      </c>
      <c r="G90" s="11" t="s">
        <v>85</v>
      </c>
      <c r="H90" s="11" t="n">
        <v>114</v>
      </c>
      <c r="I90" s="11" t="n">
        <v>60</v>
      </c>
      <c r="J90" s="11" t="n">
        <v>7</v>
      </c>
      <c r="K90" s="11" t="n">
        <v>6361</v>
      </c>
      <c r="L90" s="11" t="s">
        <v>45</v>
      </c>
    </row>
    <row r="91" customFormat="false" ht="15" hidden="false" customHeight="false" outlineLevel="0" collapsed="false">
      <c r="A91" s="11" t="s">
        <v>251</v>
      </c>
      <c r="B91" s="11" t="s">
        <v>252</v>
      </c>
      <c r="C91" s="11" t="s">
        <v>80</v>
      </c>
      <c r="D91" s="11" t="s">
        <v>140</v>
      </c>
      <c r="E91" s="11" t="s">
        <v>12</v>
      </c>
      <c r="F91" s="11" t="s">
        <v>20</v>
      </c>
      <c r="G91" s="11" t="s">
        <v>60</v>
      </c>
      <c r="H91" s="11" t="n">
        <v>145</v>
      </c>
      <c r="I91" s="11" t="n">
        <v>15</v>
      </c>
      <c r="J91" s="11" t="n">
        <v>0</v>
      </c>
      <c r="K91" s="11" t="n">
        <v>2175</v>
      </c>
      <c r="L91" s="11" t="s">
        <v>45</v>
      </c>
    </row>
    <row r="92" customFormat="false" ht="15" hidden="false" customHeight="false" outlineLevel="0" collapsed="false">
      <c r="A92" s="11" t="s">
        <v>253</v>
      </c>
      <c r="B92" s="11" t="s">
        <v>254</v>
      </c>
      <c r="C92" s="11" t="s">
        <v>72</v>
      </c>
      <c r="D92" s="11" t="s">
        <v>73</v>
      </c>
      <c r="E92" s="11" t="s">
        <v>11</v>
      </c>
      <c r="F92" s="11" t="s">
        <v>20</v>
      </c>
      <c r="G92" s="11" t="s">
        <v>85</v>
      </c>
      <c r="H92" s="11" t="n">
        <v>178</v>
      </c>
      <c r="I92" s="11" t="n">
        <v>160</v>
      </c>
      <c r="J92" s="11" t="n">
        <v>7</v>
      </c>
      <c r="K92" s="11" t="n">
        <v>26486</v>
      </c>
      <c r="L92" s="11" t="s">
        <v>45</v>
      </c>
    </row>
    <row r="93" customFormat="false" ht="15" hidden="false" customHeight="false" outlineLevel="0" collapsed="false">
      <c r="A93" s="11" t="s">
        <v>255</v>
      </c>
      <c r="B93" s="11" t="s">
        <v>254</v>
      </c>
      <c r="C93" s="11" t="s">
        <v>48</v>
      </c>
      <c r="D93" s="11" t="s">
        <v>77</v>
      </c>
      <c r="E93" s="11" t="s">
        <v>11</v>
      </c>
      <c r="F93" s="11" t="s">
        <v>19</v>
      </c>
      <c r="G93" s="11" t="s">
        <v>85</v>
      </c>
      <c r="H93" s="11" t="n">
        <v>18</v>
      </c>
      <c r="I93" s="11" t="n">
        <v>280</v>
      </c>
      <c r="J93" s="11" t="n">
        <v>5</v>
      </c>
      <c r="K93" s="11" t="n">
        <v>4788</v>
      </c>
      <c r="L93" s="11" t="s">
        <v>45</v>
      </c>
    </row>
    <row r="94" customFormat="false" ht="15" hidden="false" customHeight="false" outlineLevel="0" collapsed="false">
      <c r="A94" s="11" t="s">
        <v>256</v>
      </c>
      <c r="B94" s="11" t="s">
        <v>257</v>
      </c>
      <c r="C94" s="11" t="s">
        <v>53</v>
      </c>
      <c r="D94" s="11" t="s">
        <v>221</v>
      </c>
      <c r="E94" s="11" t="s">
        <v>11</v>
      </c>
      <c r="F94" s="11" t="s">
        <v>17</v>
      </c>
      <c r="G94" s="11" t="s">
        <v>50</v>
      </c>
      <c r="H94" s="11" t="n">
        <v>157</v>
      </c>
      <c r="I94" s="11" t="n">
        <v>85</v>
      </c>
      <c r="J94" s="11" t="n">
        <v>7</v>
      </c>
      <c r="K94" s="11" t="n">
        <v>12411</v>
      </c>
      <c r="L94" s="11" t="s">
        <v>45</v>
      </c>
    </row>
    <row r="95" customFormat="false" ht="15" hidden="false" customHeight="false" outlineLevel="0" collapsed="false">
      <c r="A95" s="11" t="s">
        <v>258</v>
      </c>
      <c r="B95" s="11" t="s">
        <v>259</v>
      </c>
      <c r="C95" s="11" t="s">
        <v>48</v>
      </c>
      <c r="D95" s="11" t="s">
        <v>49</v>
      </c>
      <c r="E95" s="11" t="s">
        <v>14</v>
      </c>
      <c r="F95" s="11" t="s">
        <v>19</v>
      </c>
      <c r="G95" s="11" t="s">
        <v>50</v>
      </c>
      <c r="H95" s="11" t="n">
        <v>73</v>
      </c>
      <c r="I95" s="11" t="n">
        <v>220</v>
      </c>
      <c r="J95" s="11" t="n">
        <v>2</v>
      </c>
      <c r="K95" s="11" t="n">
        <v>15739</v>
      </c>
      <c r="L95" s="11" t="s">
        <v>45</v>
      </c>
    </row>
    <row r="96" customFormat="false" ht="15" hidden="false" customHeight="false" outlineLevel="0" collapsed="false">
      <c r="A96" s="11" t="s">
        <v>260</v>
      </c>
      <c r="B96" s="11" t="s">
        <v>261</v>
      </c>
      <c r="C96" s="11" t="s">
        <v>53</v>
      </c>
      <c r="D96" s="11" t="s">
        <v>54</v>
      </c>
      <c r="E96" s="11" t="s">
        <v>12</v>
      </c>
      <c r="F96" s="11" t="s">
        <v>21</v>
      </c>
      <c r="G96" s="11" t="s">
        <v>44</v>
      </c>
      <c r="H96" s="11" t="n">
        <v>118</v>
      </c>
      <c r="I96" s="11" t="n">
        <v>20</v>
      </c>
      <c r="J96" s="11" t="n">
        <v>10</v>
      </c>
      <c r="K96" s="11" t="n">
        <v>2124</v>
      </c>
      <c r="L96" s="11" t="s">
        <v>45</v>
      </c>
    </row>
    <row r="97" customFormat="false" ht="15" hidden="false" customHeight="false" outlineLevel="0" collapsed="false">
      <c r="A97" s="11" t="s">
        <v>262</v>
      </c>
      <c r="B97" s="11" t="s">
        <v>261</v>
      </c>
      <c r="C97" s="11" t="s">
        <v>65</v>
      </c>
      <c r="D97" s="11" t="s">
        <v>66</v>
      </c>
      <c r="E97" s="11" t="s">
        <v>14</v>
      </c>
      <c r="F97" s="11" t="s">
        <v>21</v>
      </c>
      <c r="G97" s="11" t="s">
        <v>74</v>
      </c>
      <c r="H97" s="11" t="n">
        <v>58</v>
      </c>
      <c r="I97" s="11" t="n">
        <v>450</v>
      </c>
      <c r="J97" s="11" t="n">
        <v>0</v>
      </c>
      <c r="K97" s="11" t="n">
        <v>26100</v>
      </c>
      <c r="L97" s="11" t="s">
        <v>45</v>
      </c>
    </row>
    <row r="98" customFormat="false" ht="15" hidden="false" customHeight="false" outlineLevel="0" collapsed="false">
      <c r="A98" s="11" t="s">
        <v>263</v>
      </c>
      <c r="B98" s="11" t="s">
        <v>264</v>
      </c>
      <c r="C98" s="11" t="s">
        <v>88</v>
      </c>
      <c r="D98" s="11" t="s">
        <v>265</v>
      </c>
      <c r="E98" s="11" t="s">
        <v>14</v>
      </c>
      <c r="F98" s="11" t="s">
        <v>19</v>
      </c>
      <c r="G98" s="11" t="s">
        <v>74</v>
      </c>
      <c r="H98" s="11" t="n">
        <v>19</v>
      </c>
      <c r="I98" s="11" t="n">
        <v>60</v>
      </c>
      <c r="J98" s="11" t="n">
        <v>7</v>
      </c>
      <c r="K98" s="11" t="n">
        <v>1060</v>
      </c>
      <c r="L98" s="11" t="s">
        <v>45</v>
      </c>
    </row>
    <row r="99" customFormat="false" ht="15" hidden="false" customHeight="false" outlineLevel="0" collapsed="false">
      <c r="A99" s="11" t="s">
        <v>266</v>
      </c>
      <c r="B99" s="11" t="s">
        <v>267</v>
      </c>
      <c r="C99" s="11" t="s">
        <v>88</v>
      </c>
      <c r="D99" s="11" t="s">
        <v>265</v>
      </c>
      <c r="E99" s="11" t="s">
        <v>14</v>
      </c>
      <c r="F99" s="11" t="s">
        <v>20</v>
      </c>
      <c r="G99" s="11" t="s">
        <v>85</v>
      </c>
      <c r="H99" s="11" t="n">
        <v>16</v>
      </c>
      <c r="I99" s="11" t="n">
        <v>60</v>
      </c>
      <c r="J99" s="11" t="n">
        <v>0</v>
      </c>
      <c r="K99" s="11" t="n">
        <v>960</v>
      </c>
      <c r="L99" s="11" t="s">
        <v>45</v>
      </c>
    </row>
    <row r="100" customFormat="false" ht="15" hidden="false" customHeight="false" outlineLevel="0" collapsed="false">
      <c r="A100" s="11" t="s">
        <v>268</v>
      </c>
      <c r="B100" s="11" t="s">
        <v>267</v>
      </c>
      <c r="C100" s="11" t="s">
        <v>88</v>
      </c>
      <c r="D100" s="11" t="s">
        <v>89</v>
      </c>
      <c r="E100" s="11" t="s">
        <v>12</v>
      </c>
      <c r="F100" s="11" t="s">
        <v>17</v>
      </c>
      <c r="G100" s="11" t="s">
        <v>50</v>
      </c>
      <c r="H100" s="11" t="n">
        <v>180</v>
      </c>
      <c r="I100" s="11" t="n">
        <v>90</v>
      </c>
      <c r="J100" s="11" t="n">
        <v>10</v>
      </c>
      <c r="K100" s="11" t="n">
        <v>14580</v>
      </c>
      <c r="L100" s="11" t="s">
        <v>45</v>
      </c>
    </row>
    <row r="101" customFormat="false" ht="15" hidden="false" customHeight="false" outlineLevel="0" collapsed="false">
      <c r="A101" s="11" t="s">
        <v>269</v>
      </c>
      <c r="B101" s="11" t="s">
        <v>270</v>
      </c>
      <c r="C101" s="11" t="s">
        <v>48</v>
      </c>
      <c r="D101" s="11" t="s">
        <v>185</v>
      </c>
      <c r="E101" s="11" t="s">
        <v>11</v>
      </c>
      <c r="F101" s="11" t="s">
        <v>21</v>
      </c>
      <c r="G101" s="11" t="s">
        <v>44</v>
      </c>
      <c r="H101" s="11" t="n">
        <v>88</v>
      </c>
      <c r="I101" s="11" t="n">
        <v>350</v>
      </c>
      <c r="J101" s="11" t="n">
        <v>2</v>
      </c>
      <c r="K101" s="11" t="n">
        <v>30184</v>
      </c>
      <c r="L101" s="11" t="s">
        <v>45</v>
      </c>
    </row>
  </sheetData>
  <conditionalFormatting sqref="L2:L101">
    <cfRule type="cellIs" priority="2" operator="equal" aboveAverage="0" equalAverage="0" bottom="0" percent="0" rank="0" text="" dxfId="4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9.7" hidden="false" customHeight="false" outlineLevel="0" collapsed="false">
      <c r="B1" s="1" t="s">
        <v>271</v>
      </c>
    </row>
    <row r="2" customFormat="false" ht="15" hidden="false" customHeight="false" outlineLevel="0" collapsed="false">
      <c r="B2" s="2" t="s">
        <v>272</v>
      </c>
    </row>
    <row r="4" customFormat="false" ht="15" hidden="false" customHeight="false" outlineLevel="0" collapsed="false">
      <c r="B4" s="10" t="s">
        <v>273</v>
      </c>
      <c r="C4" s="10" t="s">
        <v>274</v>
      </c>
      <c r="D4" s="10" t="s">
        <v>275</v>
      </c>
    </row>
    <row r="5" customFormat="false" ht="15" hidden="false" customHeight="false" outlineLevel="0" collapsed="false">
      <c r="B5" s="11" t="s">
        <v>276</v>
      </c>
      <c r="C5" s="11" t="s">
        <v>277</v>
      </c>
      <c r="D5" s="11" t="s">
        <v>278</v>
      </c>
    </row>
    <row r="6" customFormat="false" ht="15" hidden="false" customHeight="false" outlineLevel="0" collapsed="false">
      <c r="B6" s="11" t="s">
        <v>276</v>
      </c>
      <c r="C6" s="11" t="s">
        <v>279</v>
      </c>
      <c r="D6" s="11" t="s">
        <v>280</v>
      </c>
    </row>
    <row r="7" customFormat="false" ht="15" hidden="false" customHeight="false" outlineLevel="0" collapsed="false">
      <c r="B7" s="11" t="s">
        <v>276</v>
      </c>
      <c r="C7" s="11" t="s">
        <v>281</v>
      </c>
      <c r="D7" s="11" t="s">
        <v>282</v>
      </c>
    </row>
    <row r="8" customFormat="false" ht="15" hidden="false" customHeight="false" outlineLevel="0" collapsed="false">
      <c r="B8" s="11" t="s">
        <v>276</v>
      </c>
      <c r="C8" s="11" t="s">
        <v>281</v>
      </c>
      <c r="D8" s="11" t="s">
        <v>283</v>
      </c>
    </row>
    <row r="9" customFormat="false" ht="15" hidden="false" customHeight="false" outlineLevel="0" collapsed="false">
      <c r="B9" s="11" t="s">
        <v>276</v>
      </c>
      <c r="C9" s="11" t="s">
        <v>284</v>
      </c>
      <c r="D9" s="11" t="s">
        <v>285</v>
      </c>
    </row>
    <row r="10" customFormat="false" ht="15" hidden="false" customHeight="false" outlineLevel="0" collapsed="false">
      <c r="B10" s="11" t="s">
        <v>276</v>
      </c>
      <c r="C10" s="11" t="s">
        <v>284</v>
      </c>
      <c r="D10" s="11" t="s">
        <v>286</v>
      </c>
    </row>
    <row r="11" customFormat="false" ht="15" hidden="false" customHeight="false" outlineLevel="0" collapsed="false">
      <c r="B11" s="11" t="s">
        <v>276</v>
      </c>
      <c r="C11" s="11" t="s">
        <v>284</v>
      </c>
      <c r="D11" s="11" t="s">
        <v>287</v>
      </c>
    </row>
    <row r="12" customFormat="false" ht="15" hidden="false" customHeight="false" outlineLevel="0" collapsed="false">
      <c r="B12" s="11" t="s">
        <v>276</v>
      </c>
      <c r="C12" s="11" t="s">
        <v>288</v>
      </c>
      <c r="D12" s="11" t="s">
        <v>289</v>
      </c>
    </row>
    <row r="13" customFormat="false" ht="15" hidden="false" customHeight="false" outlineLevel="0" collapsed="false">
      <c r="B13" s="11" t="s">
        <v>276</v>
      </c>
      <c r="C13" s="11" t="s">
        <v>290</v>
      </c>
      <c r="D13" s="11" t="s">
        <v>291</v>
      </c>
    </row>
    <row r="14" customFormat="false" ht="15" hidden="false" customHeight="false" outlineLevel="0" collapsed="false">
      <c r="B14" s="11" t="s">
        <v>276</v>
      </c>
      <c r="C14" s="11" t="s">
        <v>292</v>
      </c>
      <c r="D14" s="11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2026-08-25T19:30:11Z</dcterms:created>
  <dc:creator>openpyxl</dc:creator>
  <dc:description/>
  <dc:language>en-US</dc:language>
  <cp:lastModifiedBy/>
  <dcterms:modified xsi:type="dcterms:W3CDTF">2026-08-25T19:30:13Z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